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krishmaniar007_vt_edu/Documents/Business Visualization Analytics/Project/"/>
    </mc:Choice>
  </mc:AlternateContent>
  <xr:revisionPtr revIDLastSave="0" documentId="8_{270EB755-E3C3-4A69-BB04-66999935348B}" xr6:coauthVersionLast="47" xr6:coauthVersionMax="47" xr10:uidLastSave="{00000000-0000-0000-0000-000000000000}"/>
  <bookViews>
    <workbookView xWindow="0" yWindow="740" windowWidth="29400" windowHeight="16660" firstSheet="1" activeTab="1" xr2:uid="{00000000-000D-0000-FFFF-FFFF00000000}"/>
  </bookViews>
  <sheets>
    <sheet name="raw" sheetId="1" r:id="rId1"/>
    <sheet name="clean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2" i="3" l="1"/>
  <c r="N93" i="3"/>
  <c r="N94" i="3"/>
  <c r="N95" i="3"/>
  <c r="O95" i="3" s="1"/>
  <c r="N96" i="3"/>
  <c r="O96" i="3" s="1"/>
  <c r="N97" i="3"/>
  <c r="O97" i="3" s="1"/>
  <c r="N98" i="3"/>
  <c r="O98" i="3" s="1"/>
  <c r="N99" i="3"/>
  <c r="O99" i="3" s="1"/>
  <c r="N100" i="3"/>
  <c r="N101" i="3"/>
  <c r="N102" i="3"/>
  <c r="N103" i="3"/>
  <c r="O103" i="3" s="1"/>
  <c r="N104" i="3"/>
  <c r="O104" i="3" s="1"/>
  <c r="N105" i="3"/>
  <c r="O105" i="3" s="1"/>
  <c r="N106" i="3"/>
  <c r="N107" i="3"/>
  <c r="O107" i="3" s="1"/>
  <c r="N108" i="3"/>
  <c r="N109" i="3"/>
  <c r="N110" i="3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N117" i="3"/>
  <c r="N118" i="3"/>
  <c r="N119" i="3"/>
  <c r="O119" i="3" s="1"/>
  <c r="N120" i="3"/>
  <c r="O120" i="3" s="1"/>
  <c r="N121" i="3"/>
  <c r="O121" i="3" s="1"/>
  <c r="N122" i="3"/>
  <c r="N123" i="3"/>
  <c r="O123" i="3" s="1"/>
  <c r="N124" i="3"/>
  <c r="N125" i="3"/>
  <c r="N126" i="3"/>
  <c r="N127" i="3"/>
  <c r="O127" i="3" s="1"/>
  <c r="N128" i="3"/>
  <c r="O128" i="3" s="1"/>
  <c r="N129" i="3"/>
  <c r="O129" i="3" s="1"/>
  <c r="N130" i="3"/>
  <c r="N131" i="3"/>
  <c r="N132" i="3"/>
  <c r="N133" i="3"/>
  <c r="N134" i="3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N141" i="3"/>
  <c r="N142" i="3"/>
  <c r="N143" i="3"/>
  <c r="O143" i="3" s="1"/>
  <c r="N144" i="3"/>
  <c r="O144" i="3" s="1"/>
  <c r="N145" i="3"/>
  <c r="O145" i="3" s="1"/>
  <c r="N146" i="3"/>
  <c r="N147" i="3"/>
  <c r="N148" i="3"/>
  <c r="N149" i="3"/>
  <c r="N150" i="3"/>
  <c r="N151" i="3"/>
  <c r="O151" i="3" s="1"/>
  <c r="N152" i="3"/>
  <c r="O152" i="3" s="1"/>
  <c r="O92" i="3"/>
  <c r="O93" i="3"/>
  <c r="O94" i="3"/>
  <c r="O100" i="3"/>
  <c r="O101" i="3"/>
  <c r="O102" i="3"/>
  <c r="O106" i="3"/>
  <c r="O108" i="3"/>
  <c r="O109" i="3"/>
  <c r="O110" i="3"/>
  <c r="O116" i="3"/>
  <c r="O117" i="3"/>
  <c r="O118" i="3"/>
  <c r="O122" i="3"/>
  <c r="O124" i="3"/>
  <c r="O125" i="3"/>
  <c r="O126" i="3"/>
  <c r="O130" i="3"/>
  <c r="O131" i="3"/>
  <c r="O132" i="3"/>
  <c r="O133" i="3"/>
  <c r="O134" i="3"/>
  <c r="O140" i="3"/>
  <c r="O141" i="3"/>
  <c r="O142" i="3"/>
  <c r="O146" i="3"/>
  <c r="O147" i="3"/>
  <c r="O148" i="3"/>
  <c r="O149" i="3"/>
  <c r="O150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N62" i="3"/>
  <c r="N63" i="3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N71" i="3"/>
  <c r="N72" i="3"/>
  <c r="N73" i="3"/>
  <c r="O73" i="3" s="1"/>
  <c r="N74" i="3"/>
  <c r="O74" i="3" s="1"/>
  <c r="N75" i="3"/>
  <c r="O75" i="3" s="1"/>
  <c r="N76" i="3"/>
  <c r="O76" i="3" s="1"/>
  <c r="N77" i="3"/>
  <c r="O77" i="3" s="1"/>
  <c r="N78" i="3"/>
  <c r="N79" i="3"/>
  <c r="N80" i="3"/>
  <c r="N81" i="3"/>
  <c r="O81" i="3" s="1"/>
  <c r="N82" i="3"/>
  <c r="O82" i="3" s="1"/>
  <c r="N83" i="3"/>
  <c r="O83" i="3" s="1"/>
  <c r="N84" i="3"/>
  <c r="O84" i="3" s="1"/>
  <c r="N85" i="3"/>
  <c r="O85" i="3" s="1"/>
  <c r="N86" i="3"/>
  <c r="N87" i="3"/>
  <c r="N88" i="3"/>
  <c r="O88" i="3" s="1"/>
  <c r="N89" i="3"/>
  <c r="O89" i="3" s="1"/>
  <c r="N90" i="3"/>
  <c r="O90" i="3" s="1"/>
  <c r="N91" i="3"/>
  <c r="O91" i="3" s="1"/>
  <c r="O62" i="3"/>
  <c r="O63" i="3"/>
  <c r="O70" i="3"/>
  <c r="O71" i="3"/>
  <c r="O72" i="3"/>
  <c r="O78" i="3"/>
  <c r="O79" i="3"/>
  <c r="O80" i="3"/>
  <c r="O86" i="3"/>
  <c r="O87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N2" i="3"/>
  <c r="O2" i="3" s="1"/>
  <c r="N3" i="3"/>
  <c r="O3" i="3" s="1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</calcChain>
</file>

<file path=xl/sharedStrings.xml><?xml version="1.0" encoding="utf-8"?>
<sst xmlns="http://schemas.openxmlformats.org/spreadsheetml/2006/main" count="9530" uniqueCount="434">
  <si>
    <t>ID</t>
  </si>
  <si>
    <t>Start time</t>
  </si>
  <si>
    <t>Completion time</t>
  </si>
  <si>
    <t>Email</t>
  </si>
  <si>
    <t>Name</t>
  </si>
  <si>
    <t>Last modified time</t>
  </si>
  <si>
    <t>What is your year at Virginia Tech?</t>
  </si>
  <si>
    <t>What college are you in?</t>
  </si>
  <si>
    <t>What is your Major?</t>
  </si>
  <si>
    <t>What is your Gender?</t>
  </si>
  <si>
    <t>What is your Race/Ethnicity?</t>
  </si>
  <si>
    <t>What is your current GPA?</t>
  </si>
  <si>
    <t>Number of credit hours enrolled this semester:</t>
  </si>
  <si>
    <t>On an average, how many hours per week do you study?</t>
  </si>
  <si>
    <t>Where do you study most often?</t>
  </si>
  <si>
    <t>What is your ideal study setting?</t>
  </si>
  <si>
    <t>Do you listen to music while studying?</t>
  </si>
  <si>
    <t>How often do you check your phone while studying?</t>
  </si>
  <si>
    <t>What is your ideal number of days to start preparing for an exam?</t>
  </si>
  <si>
    <t>On average, how many hours of sleep do you get per night?</t>
  </si>
  <si>
    <t>When do you feel most productive?</t>
  </si>
  <si>
    <t xml:space="preserve">How frequently do you consume caffeine in a day
</t>
  </si>
  <si>
    <t>What factor MOST improves your productivity?</t>
  </si>
  <si>
    <t>What factor MOST reduces your productivity</t>
  </si>
  <si>
    <t xml:space="preserve">Do you believe your current study habits positively impact your GPA?
</t>
  </si>
  <si>
    <t>Would you change any of your study habits if data showed they were ineffective?</t>
  </si>
  <si>
    <t xml:space="preserve">Do you also work simultaneously as a student?
</t>
  </si>
  <si>
    <t>Rate your class attendance: (5: being the Highest and 1: being the Lowest)</t>
  </si>
  <si>
    <t>What is your financial source for education?</t>
  </si>
  <si>
    <t xml:space="preserve">If AI tools were unavailable for one week before exams, how would your performance be affected?
</t>
  </si>
  <si>
    <t xml:space="preserve">Which academic activity do you most frequently replace with AI assistance?
</t>
  </si>
  <si>
    <t> ⁠When using AI, how often do you fully understand the solution before using or submitting it?</t>
  </si>
  <si>
    <t>If AI tools were unavailable for one week before assignments/projects are due, how would your performance be affected</t>
  </si>
  <si>
    <t>Using AI chatbots has improved my academic performance</t>
  </si>
  <si>
    <t xml:space="preserve">Integrating AI chatbots into my learning process has enhanced my overall academic productivity </t>
  </si>
  <si>
    <t xml:space="preserve">AI chatbots enhance my knowledge and academic performance </t>
  </si>
  <si>
    <t xml:space="preserve">The services offered by AI chatbots help me gain new knowledge and skills </t>
  </si>
  <si>
    <t xml:space="preserve">AI chatbot services assist me in identifying and overcoming challenges in my academic pursuits </t>
  </si>
  <si>
    <t xml:space="preserve">Utilizing AI chatbots has enhanced the development of my research mindset across various fields </t>
  </si>
  <si>
    <t>anonymous</t>
  </si>
  <si>
    <t>Graduate</t>
  </si>
  <si>
    <t>Pamplin</t>
  </si>
  <si>
    <t>BIT Cybersecurity</t>
  </si>
  <si>
    <t>Woman</t>
  </si>
  <si>
    <t>Hispanic/Latino</t>
  </si>
  <si>
    <t>3.4</t>
  </si>
  <si>
    <t>15</t>
  </si>
  <si>
    <t>11-15</t>
  </si>
  <si>
    <t>Coffee shop</t>
  </si>
  <si>
    <t>Alone</t>
  </si>
  <si>
    <t>Sometimes</t>
  </si>
  <si>
    <t>5-6</t>
  </si>
  <si>
    <t>Late night</t>
  </si>
  <si>
    <t>Often</t>
  </si>
  <si>
    <t>Caffeine</t>
  </si>
  <si>
    <t>Loud noises</t>
  </si>
  <si>
    <t>Yes</t>
  </si>
  <si>
    <t>No</t>
  </si>
  <si>
    <t>On campus job;</t>
  </si>
  <si>
    <t>3</t>
  </si>
  <si>
    <t>Loan</t>
  </si>
  <si>
    <t>No impact</t>
  </si>
  <si>
    <t>Brainstorming</t>
  </si>
  <si>
    <t>Always</t>
  </si>
  <si>
    <t>Somewhat agree</t>
  </si>
  <si>
    <t>Neutral</t>
  </si>
  <si>
    <t>Somewhat disagree</t>
  </si>
  <si>
    <t>Business Administration</t>
  </si>
  <si>
    <t>Man</t>
  </si>
  <si>
    <t>Asian</t>
  </si>
  <si>
    <t>4</t>
  </si>
  <si>
    <t>12</t>
  </si>
  <si>
    <t>6-10</t>
  </si>
  <si>
    <t>Dorm/Apartment</t>
  </si>
  <si>
    <t>6-7</t>
  </si>
  <si>
    <t>Evening</t>
  </si>
  <si>
    <t>Silence</t>
  </si>
  <si>
    <t>Social Media</t>
  </si>
  <si>
    <t>Maybe</t>
  </si>
  <si>
    <t>On campus job;Volunteer/Student Organization;</t>
  </si>
  <si>
    <t>5</t>
  </si>
  <si>
    <t>Prefer not to say </t>
  </si>
  <si>
    <t>Slightly Worse</t>
  </si>
  <si>
    <t>Slightly Worse </t>
  </si>
  <si>
    <t>Strongly agree</t>
  </si>
  <si>
    <t>Senior</t>
  </si>
  <si>
    <t>Engineering</t>
  </si>
  <si>
    <t xml:space="preserve">Computer science </t>
  </si>
  <si>
    <t>3.6</t>
  </si>
  <si>
    <t>20+</t>
  </si>
  <si>
    <t>Library</t>
  </si>
  <si>
    <t>7-8</t>
  </si>
  <si>
    <t>Morning</t>
  </si>
  <si>
    <t>Never</t>
  </si>
  <si>
    <t>Events</t>
  </si>
  <si>
    <t>N/A;</t>
  </si>
  <si>
    <t>Scholarship/Sponsorship</t>
  </si>
  <si>
    <t>Research summarization</t>
  </si>
  <si>
    <t>Sophomore</t>
  </si>
  <si>
    <t>Human Resources</t>
  </si>
  <si>
    <t>Biology With Biomedical</t>
  </si>
  <si>
    <t>White</t>
  </si>
  <si>
    <t>17</t>
  </si>
  <si>
    <t>Rarely</t>
  </si>
  <si>
    <t>8+</t>
  </si>
  <si>
    <t>Approaching deadlines</t>
  </si>
  <si>
    <t>A good show I want to watch</t>
  </si>
  <si>
    <t>Solving quantitative problems</t>
  </si>
  <si>
    <t>BIT OSM</t>
  </si>
  <si>
    <t>3.76</t>
  </si>
  <si>
    <t>0-5</t>
  </si>
  <si>
    <t>Noise</t>
  </si>
  <si>
    <t>Volunteer/Student Organization;</t>
  </si>
  <si>
    <t>Parents/Guardian</t>
  </si>
  <si>
    <t>BIT Cyber</t>
  </si>
  <si>
    <t>18</t>
  </si>
  <si>
    <t>Music / Filler Noise</t>
  </si>
  <si>
    <t>Group setting and noise</t>
  </si>
  <si>
    <t>Writing drafts</t>
  </si>
  <si>
    <t>BIT-CMA</t>
  </si>
  <si>
    <t>3.5</t>
  </si>
  <si>
    <t>Afternoon</t>
  </si>
  <si>
    <t>Sleep</t>
  </si>
  <si>
    <t xml:space="preserve">Distractions </t>
  </si>
  <si>
    <t>Junior</t>
  </si>
  <si>
    <t>Finance</t>
  </si>
  <si>
    <t>3.9</t>
  </si>
  <si>
    <t>Phone - social media</t>
  </si>
  <si>
    <t>Significantly Worse</t>
  </si>
  <si>
    <t>MSBA GBA</t>
  </si>
  <si>
    <t>3.7</t>
  </si>
  <si>
    <t>Clutter (i need my environment to be clean)</t>
  </si>
  <si>
    <t>Graduate School</t>
  </si>
  <si>
    <t>MSBA-BA</t>
  </si>
  <si>
    <t>3.64</t>
  </si>
  <si>
    <t>Academic building</t>
  </si>
  <si>
    <t>Lack of understanding of the subject</t>
  </si>
  <si>
    <t>Cybersecurity Management and Analytics</t>
  </si>
  <si>
    <t>With a mentor</t>
  </si>
  <si>
    <t>Looking at phone too often</t>
  </si>
  <si>
    <t>CMA</t>
  </si>
  <si>
    <t>3.73</t>
  </si>
  <si>
    <t>2</t>
  </si>
  <si>
    <t>MsBA</t>
  </si>
  <si>
    <t>Disturbance in flow of study</t>
  </si>
  <si>
    <t>BIT</t>
  </si>
  <si>
    <t>3.94</t>
  </si>
  <si>
    <t>16</t>
  </si>
  <si>
    <t>With friends</t>
  </si>
  <si>
    <t>Tiredness</t>
  </si>
  <si>
    <t>GBA</t>
  </si>
  <si>
    <t>Internship/Co-op;</t>
  </si>
  <si>
    <t>BIT- CMA</t>
  </si>
  <si>
    <t>3.88</t>
  </si>
  <si>
    <t>Less than 5</t>
  </si>
  <si>
    <t>N/A</t>
  </si>
  <si>
    <t>BA</t>
  </si>
  <si>
    <t xml:space="preserve">Fatigue </t>
  </si>
  <si>
    <t>MSBA-GBA</t>
  </si>
  <si>
    <t>3.82</t>
  </si>
  <si>
    <t>Incomplete sleep</t>
  </si>
  <si>
    <t>Data-Centric Computing (Computer Science)</t>
  </si>
  <si>
    <t>3.31</t>
  </si>
  <si>
    <t>19</t>
  </si>
  <si>
    <t>Disturbance</t>
  </si>
  <si>
    <t>I do not replace tasks</t>
  </si>
  <si>
    <t>0</t>
  </si>
  <si>
    <t>Study group</t>
  </si>
  <si>
    <t>Not sleepinibg</t>
  </si>
  <si>
    <t>1</t>
  </si>
  <si>
    <t>CS</t>
  </si>
  <si>
    <t xml:space="preserve">Noise </t>
  </si>
  <si>
    <t>bad sleep</t>
  </si>
  <si>
    <t>Coding</t>
  </si>
  <si>
    <t xml:space="preserve">Civil engineering </t>
  </si>
  <si>
    <t>3.2</t>
  </si>
  <si>
    <t>Stress</t>
  </si>
  <si>
    <t>Volunteer/Student Organization;Internship/Co-op;</t>
  </si>
  <si>
    <t>Slightly Better</t>
  </si>
  <si>
    <t>Computer Engineering</t>
  </si>
  <si>
    <t>11</t>
  </si>
  <si>
    <t>Cma</t>
  </si>
  <si>
    <t>3.78</t>
  </si>
  <si>
    <t>Phone</t>
  </si>
  <si>
    <t>MEng Computer Science</t>
  </si>
  <si>
    <t>3.72</t>
  </si>
  <si>
    <t>9</t>
  </si>
  <si>
    <t>Cluttered work environments/area being too loud</t>
  </si>
  <si>
    <t xml:space="preserve">Electrical engineering </t>
  </si>
  <si>
    <t>16-20</t>
  </si>
  <si>
    <t>Health and stress</t>
  </si>
  <si>
    <t>3.92</t>
  </si>
  <si>
    <t>Music</t>
  </si>
  <si>
    <t>Strongly disagree</t>
  </si>
  <si>
    <t>Marketing management</t>
  </si>
  <si>
    <t>3.906</t>
  </si>
  <si>
    <t>Distractions</t>
  </si>
  <si>
    <t>Management Consulting and Analytics (MCA)</t>
  </si>
  <si>
    <t>Black/African American</t>
  </si>
  <si>
    <t>3.3</t>
  </si>
  <si>
    <t>sleep</t>
  </si>
  <si>
    <t>On campus job;Internship/Co-op;Volunteer/Student Organization;</t>
  </si>
  <si>
    <t>Self</t>
  </si>
  <si>
    <t>Accounting Information Systems</t>
  </si>
  <si>
    <t>Lack of sleep/being tired in general</t>
  </si>
  <si>
    <t>4.5</t>
  </si>
  <si>
    <t>Dual degree in Marketing Management and MCA</t>
  </si>
  <si>
    <t>Distractions in my personal life such as with friendships/relationships/other stressors.</t>
  </si>
  <si>
    <t>EIT</t>
  </si>
  <si>
    <t>Frustration or tiredness</t>
  </si>
  <si>
    <t>Accounting</t>
  </si>
  <si>
    <t>3.53</t>
  </si>
  <si>
    <t>Other people, lack of deadlines</t>
  </si>
  <si>
    <t xml:space="preserve">Marketing Management </t>
  </si>
  <si>
    <t xml:space="preserve">boredom </t>
  </si>
  <si>
    <t>Financial Planning &amp; Wealth Management</t>
  </si>
  <si>
    <t>Lack of sleep</t>
  </si>
  <si>
    <t>Entrepreneurship, Innovation and Technology</t>
  </si>
  <si>
    <t>2.9</t>
  </si>
  <si>
    <t>Also sleep... my phone too</t>
  </si>
  <si>
    <t>Cyber Management and Analytics</t>
  </si>
  <si>
    <t>My phone</t>
  </si>
  <si>
    <t>FinTech &amp; Big Data Analytics</t>
  </si>
  <si>
    <t>BIT DSS</t>
  </si>
  <si>
    <t>3.67</t>
  </si>
  <si>
    <t>talking</t>
  </si>
  <si>
    <t>finance</t>
  </si>
  <si>
    <t>procrastinating</t>
  </si>
  <si>
    <t>3.46</t>
  </si>
  <si>
    <t>Full time job;</t>
  </si>
  <si>
    <t>Marketing Management</t>
  </si>
  <si>
    <t>Internship/Co-op;Volunteer/Student Organization;</t>
  </si>
  <si>
    <t xml:space="preserve">hospitality and tourism management </t>
  </si>
  <si>
    <t xml:space="preserve">friends having plans </t>
  </si>
  <si>
    <t>my phone</t>
  </si>
  <si>
    <t>3.58</t>
  </si>
  <si>
    <t>Distractions (noise, or alot going on)</t>
  </si>
  <si>
    <t>Practice testing</t>
  </si>
  <si>
    <t>MCA</t>
  </si>
  <si>
    <t>Prefer not to say</t>
  </si>
  <si>
    <t>Loud environment</t>
  </si>
  <si>
    <t xml:space="preserve">Financial planning &amp; wealth management </t>
  </si>
  <si>
    <t>2.8</t>
  </si>
  <si>
    <t>Other</t>
  </si>
  <si>
    <t xml:space="preserve">Phone , overwhelmed </t>
  </si>
  <si>
    <t>Business Information Technology</t>
  </si>
  <si>
    <t>Management Consulting &amp; Analytics</t>
  </si>
  <si>
    <t>Sometimes I can't control myself to spend time on tiktok and games.</t>
  </si>
  <si>
    <t>3.49</t>
  </si>
  <si>
    <t>The weekend</t>
  </si>
  <si>
    <t>Management science</t>
  </si>
  <si>
    <t>3.89</t>
  </si>
  <si>
    <t>None</t>
  </si>
  <si>
    <t>Accounting and Finance</t>
  </si>
  <si>
    <t>3.77</t>
  </si>
  <si>
    <t>phone</t>
  </si>
  <si>
    <t xml:space="preserve">CPE </t>
  </si>
  <si>
    <t>3.8</t>
  </si>
  <si>
    <t>10</t>
  </si>
  <si>
    <t xml:space="preserve">BIT </t>
  </si>
  <si>
    <t xml:space="preserve">Silence </t>
  </si>
  <si>
    <t>Noise around me (people, loud music, music with lyrics)</t>
  </si>
  <si>
    <t>3.54</t>
  </si>
  <si>
    <t xml:space="preserve">Loud noises </t>
  </si>
  <si>
    <t>Architecture</t>
  </si>
  <si>
    <t>3.91</t>
  </si>
  <si>
    <t>Social media</t>
  </si>
  <si>
    <t>motion and life stress</t>
  </si>
  <si>
    <t>Financial planning</t>
  </si>
  <si>
    <t xml:space="preserve">Computer engineering </t>
  </si>
  <si>
    <t>Answer keys (showing how to get the answer)</t>
  </si>
  <si>
    <t>Too much work at once</t>
  </si>
  <si>
    <t>Freshman</t>
  </si>
  <si>
    <t>Meghan Engineering</t>
  </si>
  <si>
    <t>Load noise, or others talking not about the topic I’m studying for.</t>
  </si>
  <si>
    <t>Practice problem generation and explaining topics.</t>
  </si>
  <si>
    <t>Computer Science</t>
  </si>
  <si>
    <t>3.14</t>
  </si>
  <si>
    <t>Checking my phone</t>
  </si>
  <si>
    <t>Significantly Better</t>
  </si>
  <si>
    <t>Creating study guides</t>
  </si>
  <si>
    <t>Computer science</t>
  </si>
  <si>
    <t>3.66</t>
  </si>
  <si>
    <t xml:space="preserve">Commercial Real Estate </t>
  </si>
  <si>
    <t>3.59</t>
  </si>
  <si>
    <t xml:space="preserve">Financial planning and wealth management </t>
  </si>
  <si>
    <t>3.79</t>
  </si>
  <si>
    <t>Loud environments</t>
  </si>
  <si>
    <t>Fintech</t>
  </si>
  <si>
    <t>Other people being loud</t>
  </si>
  <si>
    <t>Fatigue/burning out</t>
  </si>
  <si>
    <t>Internship/Co-op;On campus job;</t>
  </si>
  <si>
    <t>Lack of interest in work I need to do</t>
  </si>
  <si>
    <t>Financial Planning</t>
  </si>
  <si>
    <t xml:space="preserve">Free evenings </t>
  </si>
  <si>
    <t>Aerospace Engineering</t>
  </si>
  <si>
    <t>3.69</t>
  </si>
  <si>
    <t xml:space="preserve">Distractions like phone </t>
  </si>
  <si>
    <t xml:space="preserve">Marketing </t>
  </si>
  <si>
    <t xml:space="preserve">Laziness </t>
  </si>
  <si>
    <t>Computational modeling data analytics</t>
  </si>
  <si>
    <t>3.93</t>
  </si>
  <si>
    <t>Less sleep</t>
  </si>
  <si>
    <t>Chemical Engineering</t>
  </si>
  <si>
    <t xml:space="preserve">Management </t>
  </si>
  <si>
    <t>Friends</t>
  </si>
  <si>
    <t>Arts</t>
  </si>
  <si>
    <t xml:space="preserve">Advertising </t>
  </si>
  <si>
    <t>14</t>
  </si>
  <si>
    <t>Carilion School of Medicine</t>
  </si>
  <si>
    <t xml:space="preserve">Neuroscience </t>
  </si>
  <si>
    <t>less sleep</t>
  </si>
  <si>
    <t>3.96</t>
  </si>
  <si>
    <t xml:space="preserve">Bad study environment </t>
  </si>
  <si>
    <t xml:space="preserve">Making study guides/providing guidance </t>
  </si>
  <si>
    <t>Agriculture</t>
  </si>
  <si>
    <t xml:space="preserve">Animal science pre vet </t>
  </si>
  <si>
    <t xml:space="preserve">Phone </t>
  </si>
  <si>
    <t>Honors College</t>
  </si>
  <si>
    <t>Economics (college of science)</t>
  </si>
  <si>
    <t>Being tired overwhelmed anxious</t>
  </si>
  <si>
    <t xml:space="preserve">Chemical engineering </t>
  </si>
  <si>
    <t>Study</t>
  </si>
  <si>
    <t>yeah</t>
  </si>
  <si>
    <t>0.34</t>
  </si>
  <si>
    <t>Hentai</t>
  </si>
  <si>
    <t>Everything</t>
  </si>
  <si>
    <t>3.45</t>
  </si>
  <si>
    <t>13</t>
  </si>
  <si>
    <t>Loud noises/talking and being super tired</t>
  </si>
  <si>
    <t>MSBA-Dhirubhai</t>
  </si>
  <si>
    <t>No deadline</t>
  </si>
  <si>
    <t>3.1</t>
  </si>
  <si>
    <t>Phone notifications</t>
  </si>
  <si>
    <t>Volunteer/Student Organization;On campus job;</t>
  </si>
  <si>
    <t>Anxiety and Overthinking</t>
  </si>
  <si>
    <t>Data Analytics</t>
  </si>
  <si>
    <t>Online shopping urges</t>
  </si>
  <si>
    <t xml:space="preserve">Architecture </t>
  </si>
  <si>
    <t>2.6</t>
  </si>
  <si>
    <t>Energy crashes after caffeine</t>
  </si>
  <si>
    <t xml:space="preserve">Data Analytics </t>
  </si>
  <si>
    <t>Native Hawaiian or Other Pacific Islander</t>
  </si>
  <si>
    <t>6</t>
  </si>
  <si>
    <t xml:space="preserve">Energy crashes after caffeine </t>
  </si>
  <si>
    <t>Emotional stress</t>
  </si>
  <si>
    <t xml:space="preserve">Biochemistry </t>
  </si>
  <si>
    <t>Food coma after lunch</t>
  </si>
  <si>
    <t>Animal Science</t>
  </si>
  <si>
    <t>American Indian/Alaska Native</t>
  </si>
  <si>
    <t>Post-meal sluggishness</t>
  </si>
  <si>
    <t xml:space="preserve">Psychology </t>
  </si>
  <si>
    <t>Social media scrolling</t>
  </si>
  <si>
    <t>Natural Resources</t>
  </si>
  <si>
    <t>Environmental Science</t>
  </si>
  <si>
    <t>7</t>
  </si>
  <si>
    <t xml:space="preserve">Noisy environment </t>
  </si>
  <si>
    <t>2.4</t>
  </si>
  <si>
    <t>Veterinary Medicine</t>
  </si>
  <si>
    <t>Pre-Vet Biology</t>
  </si>
  <si>
    <t>Food Science</t>
  </si>
  <si>
    <t>Daydreaming</t>
  </si>
  <si>
    <t>Landscape Architecture</t>
  </si>
  <si>
    <t>Procrastination</t>
  </si>
  <si>
    <t>Business</t>
  </si>
  <si>
    <t>Food Coma</t>
  </si>
  <si>
    <t>8</t>
  </si>
  <si>
    <t>Energy crashes</t>
  </si>
  <si>
    <t>Sociology</t>
  </si>
  <si>
    <t>Poor Sleep</t>
  </si>
  <si>
    <t>Interior Design</t>
  </si>
  <si>
    <t>Background Noise</t>
  </si>
  <si>
    <t>Theatre</t>
  </si>
  <si>
    <t>Non-binary</t>
  </si>
  <si>
    <t>Biochemistry</t>
  </si>
  <si>
    <t>MBA</t>
  </si>
  <si>
    <t>Pre Vet Bio</t>
  </si>
  <si>
    <t>Noisy environment</t>
  </si>
  <si>
    <t>Internship/Co-op;N/A;</t>
  </si>
  <si>
    <t>Notification</t>
  </si>
  <si>
    <t>Comp Science</t>
  </si>
  <si>
    <t>Doom scrolling</t>
  </si>
  <si>
    <t>BIT Cybersec</t>
  </si>
  <si>
    <t xml:space="preserve">Noise in surroundings </t>
  </si>
  <si>
    <t>Mechanical engineering</t>
  </si>
  <si>
    <t>Construction Engineering (BSCEM)</t>
  </si>
  <si>
    <t>Tired after eating</t>
  </si>
  <si>
    <t>Background TV noise</t>
  </si>
  <si>
    <t>Full time job;Volunteer/Student Organization;</t>
  </si>
  <si>
    <t>Anxiety and overthinking</t>
  </si>
  <si>
    <t>2.7</t>
  </si>
  <si>
    <t>Emotional Stress</t>
  </si>
  <si>
    <t>Mechanical Engineering</t>
  </si>
  <si>
    <t xml:space="preserve">Brain Fog </t>
  </si>
  <si>
    <t>Brain fog from poor sleep</t>
  </si>
  <si>
    <t>2.5</t>
  </si>
  <si>
    <t>Messy workspace</t>
  </si>
  <si>
    <t>Pre-Medicine</t>
  </si>
  <si>
    <t>2.3</t>
  </si>
  <si>
    <t>Sudden energy drops</t>
  </si>
  <si>
    <t>Mechanical</t>
  </si>
  <si>
    <t xml:space="preserve">Mess in my surroundings </t>
  </si>
  <si>
    <t>Notifications</t>
  </si>
  <si>
    <t>MSBA</t>
  </si>
  <si>
    <t>Marketing</t>
  </si>
  <si>
    <t>Tired</t>
  </si>
  <si>
    <t>MSBA Global Business Analytics</t>
  </si>
  <si>
    <t>3.83</t>
  </si>
  <si>
    <t>No deadlines</t>
  </si>
  <si>
    <t>Phone distraction text</t>
  </si>
  <si>
    <t>Phone distraction</t>
  </si>
  <si>
    <t>Sleep under 7 hours</t>
  </si>
  <si>
    <t>Barrier Category</t>
  </si>
  <si>
    <t>Web series</t>
  </si>
  <si>
    <t>Noise, Group setting</t>
  </si>
  <si>
    <t>Focus</t>
  </si>
  <si>
    <t>Phone, Social media</t>
  </si>
  <si>
    <t>Clutter</t>
  </si>
  <si>
    <t>Clutter, Loud Noise</t>
  </si>
  <si>
    <t>Incomplete sleep, Fatigue</t>
  </si>
  <si>
    <t>Stress, Fatigue</t>
  </si>
  <si>
    <t>Boredom</t>
  </si>
  <si>
    <t>Incomplete sleep, Phone</t>
  </si>
  <si>
    <t>Procrastinating</t>
  </si>
  <si>
    <t>Social Life</t>
  </si>
  <si>
    <t>Phone, Stress</t>
  </si>
  <si>
    <t>Overworked</t>
  </si>
  <si>
    <t>Loud noises, Distractions</t>
  </si>
  <si>
    <t>Low Motivation</t>
  </si>
  <si>
    <t>Free Time</t>
  </si>
  <si>
    <t>Distractions, Phone</t>
  </si>
  <si>
    <t>Burnout</t>
  </si>
  <si>
    <t>Loud noises, Fatigue</t>
  </si>
  <si>
    <t>Caffeine Crashes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</si>
</sst>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0" xfId="0" quotePrefix="1" applyFill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7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61" totalsRowShown="0">
  <autoFilter ref="A1:AM61" xr:uid="{00000000-0009-0000-0100-000001000000}"/>
  <tableColumns count="39">
    <tableColumn id="1" xr3:uid="{00000000-0010-0000-0000-000001000000}" name="ID" dataDxfId="77"/>
    <tableColumn id="2" xr3:uid="{00000000-0010-0000-0000-000002000000}" name="Start time" dataDxfId="76"/>
    <tableColumn id="3" xr3:uid="{00000000-0010-0000-0000-000003000000}" name="Completion time" dataDxfId="75"/>
    <tableColumn id="4" xr3:uid="{00000000-0010-0000-0000-000004000000}" name="Email" dataDxfId="74"/>
    <tableColumn id="5" xr3:uid="{00000000-0010-0000-0000-000005000000}" name="Name" dataDxfId="73"/>
    <tableColumn id="6" xr3:uid="{00000000-0010-0000-0000-000006000000}" name="Last modified time" dataDxfId="72"/>
    <tableColumn id="7" xr3:uid="{00000000-0010-0000-0000-000007000000}" name="What is your year at Virginia Tech?" dataDxfId="71"/>
    <tableColumn id="8" xr3:uid="{00000000-0010-0000-0000-000008000000}" name="What college are you in?" dataDxfId="70"/>
    <tableColumn id="9" xr3:uid="{00000000-0010-0000-0000-000009000000}" name="What is your Major?" dataDxfId="69"/>
    <tableColumn id="10" xr3:uid="{00000000-0010-0000-0000-00000A000000}" name="What is your Gender?" dataDxfId="68"/>
    <tableColumn id="11" xr3:uid="{00000000-0010-0000-0000-00000B000000}" name="What is your Race/Ethnicity?" dataDxfId="67"/>
    <tableColumn id="12" xr3:uid="{00000000-0010-0000-0000-00000C000000}" name="What is your current GPA?" dataDxfId="66"/>
    <tableColumn id="13" xr3:uid="{00000000-0010-0000-0000-00000D000000}" name="Number of credit hours enrolled this semester:" dataDxfId="65"/>
    <tableColumn id="14" xr3:uid="{00000000-0010-0000-0000-00000E000000}" name="On an average, how many hours per week do you study?" dataDxfId="64"/>
    <tableColumn id="15" xr3:uid="{00000000-0010-0000-0000-00000F000000}" name="Where do you study most often?" dataDxfId="63"/>
    <tableColumn id="16" xr3:uid="{00000000-0010-0000-0000-000010000000}" name="What is your ideal study setting?" dataDxfId="62"/>
    <tableColumn id="17" xr3:uid="{00000000-0010-0000-0000-000011000000}" name="Do you listen to music while studying?" dataDxfId="61"/>
    <tableColumn id="18" xr3:uid="{00000000-0010-0000-0000-000012000000}" name="How often do you check your phone while studying?" dataDxfId="60"/>
    <tableColumn id="19" xr3:uid="{00000000-0010-0000-0000-000013000000}" name="What is your ideal number of days to start preparing for an exam?" dataDxfId="59"/>
    <tableColumn id="20" xr3:uid="{00000000-0010-0000-0000-000014000000}" name="On average, how many hours of sleep do you get per night?" dataDxfId="58"/>
    <tableColumn id="21" xr3:uid="{00000000-0010-0000-0000-000015000000}" name="When do you feel most productive?" dataDxfId="57"/>
    <tableColumn id="22" xr3:uid="{00000000-0010-0000-0000-000016000000}" name="How frequently do you consume caffeine in a day_x000a_" dataDxfId="56"/>
    <tableColumn id="23" xr3:uid="{00000000-0010-0000-0000-000017000000}" name="What factor MOST improves your productivity?" dataDxfId="55"/>
    <tableColumn id="24" xr3:uid="{00000000-0010-0000-0000-000018000000}" name="What factor MOST reduces your productivity" dataDxfId="54"/>
    <tableColumn id="25" xr3:uid="{00000000-0010-0000-0000-000019000000}" name="Do you believe your current study habits positively impact your GPA?_x000a_" dataDxfId="53"/>
    <tableColumn id="26" xr3:uid="{00000000-0010-0000-0000-00001A000000}" name="Would you change any of your study habits if data showed they were ineffective?" dataDxfId="52"/>
    <tableColumn id="27" xr3:uid="{00000000-0010-0000-0000-00001B000000}" name="Do you also work simultaneously as a student?_x000a_" dataDxfId="51"/>
    <tableColumn id="28" xr3:uid="{00000000-0010-0000-0000-00001C000000}" name="Rate your class attendance: (5: being the Highest and 1: being the Lowest)" dataDxfId="50"/>
    <tableColumn id="29" xr3:uid="{00000000-0010-0000-0000-00001D000000}" name="What is your financial source for education?" dataDxfId="49"/>
    <tableColumn id="30" xr3:uid="{00000000-0010-0000-0000-00001E000000}" name="If AI tools were unavailable for one week before exams, how would your performance be affected?_x000a_" dataDxfId="48"/>
    <tableColumn id="31" xr3:uid="{00000000-0010-0000-0000-00001F000000}" name="Which academic activity do you most frequently replace with AI assistance?_x000a_" dataDxfId="47"/>
    <tableColumn id="32" xr3:uid="{00000000-0010-0000-0000-000020000000}" name=" ⁠When using AI, how often do you fully understand the solution before using or submitting it?" dataDxfId="46"/>
    <tableColumn id="33" xr3:uid="{00000000-0010-0000-0000-000021000000}" name="If AI tools were unavailable for one week before assignments/projects are due, how would your performance be affected" dataDxfId="45"/>
    <tableColumn id="34" xr3:uid="{00000000-0010-0000-0000-000022000000}" name="Using AI chatbots has improved my academic performance" dataDxfId="44"/>
    <tableColumn id="35" xr3:uid="{00000000-0010-0000-0000-000023000000}" name="Integrating AI chatbots into my learning process has enhanced my overall academic productivity " dataDxfId="43"/>
    <tableColumn id="36" xr3:uid="{00000000-0010-0000-0000-000024000000}" name="AI chatbots enhance my knowledge and academic performance " dataDxfId="42"/>
    <tableColumn id="37" xr3:uid="{00000000-0010-0000-0000-000025000000}" name="The services offered by AI chatbots help me gain new knowledge and skills " dataDxfId="41"/>
    <tableColumn id="38" xr3:uid="{00000000-0010-0000-0000-000026000000}" name="AI chatbot services assist me in identifying and overcoming challenges in my academic pursuits " dataDxfId="40"/>
    <tableColumn id="39" xr3:uid="{00000000-0010-0000-0000-000027000000}" name="Utilizing AI chatbots has enhanced the development of my research mindset across various fields 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A89581-EBFB-604B-BF41-3FDF5EA989B0}" name="Table13" displayName="Table13" ref="A1:AL152" totalsRowShown="0" headerRowDxfId="38">
  <autoFilter ref="A1:AL152" xr:uid="{00000000-0009-0000-0100-000001000000}"/>
  <tableColumns count="38">
    <tableColumn id="7" xr3:uid="{CD3E2A9F-C6C8-2343-904B-ACD2EF30ADB1}" name="ID" dataDxfId="37"/>
    <tableColumn id="5" xr3:uid="{39B3D6CF-B9D9-5043-86A7-7367BBA5CB5B}" name="What is your year at Virginia Tech?" dataDxfId="36"/>
    <tableColumn id="8" xr3:uid="{A7F1DD39-4A13-6347-9B28-FD149FE6603F}" name="What college are you in?" dataDxfId="35"/>
    <tableColumn id="9" xr3:uid="{FB4B64BB-6551-A345-A185-DBE07D4DE6CF}" name="What is your Major?" dataDxfId="34"/>
    <tableColumn id="10" xr3:uid="{68C2FA9B-0488-4942-882C-DCBCF1706214}" name="What is your Gender?" dataDxfId="33"/>
    <tableColumn id="11" xr3:uid="{470B9489-960D-F149-ABB1-AC613000D907}" name="What is your Race/Ethnicity?" dataDxfId="32"/>
    <tableColumn id="12" xr3:uid="{96ED042E-4087-BA4C-84D8-8CE680C3DD64}" name="What is your current GPA?" dataDxfId="31"/>
    <tableColumn id="13" xr3:uid="{52F911F1-73CE-8140-AA8A-5D9F8C50E8C9}" name="Number of credit hours enrolled this semester:" dataDxfId="30"/>
    <tableColumn id="14" xr3:uid="{EB624B92-6DA5-4C4C-9978-BD70CCBAD6DA}" name="On an average, how many hours per week do you study?" dataDxfId="29"/>
    <tableColumn id="15" xr3:uid="{4DE69AD0-5A65-814C-B8E6-BDDF775EF287}" name="Where do you study most often?" dataDxfId="28"/>
    <tableColumn id="16" xr3:uid="{BEBCF1CB-EFFF-BE45-906A-FCE318F4CA6D}" name="What is your ideal study setting?" dataDxfId="27"/>
    <tableColumn id="17" xr3:uid="{53C32FC6-7E18-1745-890F-42AC0A7E7700}" name="Do you listen to music while studying?" dataDxfId="26"/>
    <tableColumn id="18" xr3:uid="{29F150C7-D45B-5E4A-BD01-488069F1A7A3}" name="How often do you check your phone while studying?" dataDxfId="25"/>
    <tableColumn id="1" xr3:uid="{CDD5FFCE-B07B-A644-A737-2FE3D8EE3CAE}" name="Phone distraction text" dataDxfId="24">
      <calculatedColumnFormula>IF(OR(M2="Often",M2="Always"),"High","Not high")</calculatedColumnFormula>
    </tableColumn>
    <tableColumn id="2" xr3:uid="{C4BFCEDD-AD39-CB44-B9EE-C6D7B52AED6A}" name="Phone distraction" dataDxfId="23">
      <calculatedColumnFormula>IF(Table13[[#This Row],[Phone distraction text]]="High",1,0)</calculatedColumnFormula>
    </tableColumn>
    <tableColumn id="19" xr3:uid="{D85D49CE-96B9-B941-A993-A00F348BB3CC}" name="What is your ideal number of days to start preparing for an exam?" dataDxfId="22"/>
    <tableColumn id="20" xr3:uid="{8BEC25ED-1361-CD46-B94D-CD866E82D4BF}" name="On average, how many hours of sleep do you get per night?" dataDxfId="21"/>
    <tableColumn id="3" xr3:uid="{F42310B6-1895-3340-A993-5A5FB29C1A10}" name="Sleep under 7 hours" dataDxfId="20">
      <calculatedColumnFormula>IF(OR(Q2="Less than 5",Q2="5-6",Q2="6-7"),1,0)</calculatedColumnFormula>
    </tableColumn>
    <tableColumn id="21" xr3:uid="{AFD7C869-583A-6F4C-A1AF-7B91A662C6E6}" name="When do you feel most productive?" dataDxfId="19"/>
    <tableColumn id="22" xr3:uid="{457C2B9C-E2A7-D040-B551-3AAA8105A03D}" name="How frequently do you consume caffeine in a day_x000a_" dataDxfId="18"/>
    <tableColumn id="23" xr3:uid="{29D5E60D-689E-804A-89BD-C816122EF4D0}" name="What factor MOST improves your productivity?" dataDxfId="17"/>
    <tableColumn id="4" xr3:uid="{EC6C1D09-3D35-7446-A7B2-E0A7DCEC28C2}" name="What factor MOST reduces your productivity" dataDxfId="16"/>
    <tableColumn id="24" xr3:uid="{B88F05E5-7CC9-F443-AD52-888250907F0A}" name="Barrier Category" dataDxfId="15"/>
    <tableColumn id="25" xr3:uid="{58DD64C7-D00D-8649-815B-034BB2E76F5D}" name="Do you believe your current study habits positively impact your GPA?_x000a_" dataDxfId="14"/>
    <tableColumn id="26" xr3:uid="{F50EB07E-C6E2-CD4F-92DF-AF2DB18B243E}" name="Would you change any of your study habits if data showed they were ineffective?" dataDxfId="13"/>
    <tableColumn id="27" xr3:uid="{D2A23AB5-7761-3143-AE9F-735A717FE68E}" name="Do you also work simultaneously as a student?_x000a_" dataDxfId="12"/>
    <tableColumn id="28" xr3:uid="{9CA9C246-225F-324E-810E-9EEC170E4012}" name="Rate your class attendance: (5: being the Highest and 1: being the Lowest)" dataDxfId="11"/>
    <tableColumn id="29" xr3:uid="{9E96514A-1E23-9F47-89A3-613EBF5D0209}" name="What is your financial source for education?" dataDxfId="10"/>
    <tableColumn id="30" xr3:uid="{A93856F4-D24A-E44D-A6E0-C2EB1AABD488}" name="If AI tools were unavailable for one week before exams, how would your performance be affected?_x000a_" dataDxfId="9"/>
    <tableColumn id="31" xr3:uid="{5CEA0B85-B854-544C-B4C5-601BB4CBD133}" name="Which academic activity do you most frequently replace with AI assistance?_x000a_" dataDxfId="8"/>
    <tableColumn id="32" xr3:uid="{B64B4089-344A-BA41-AEC3-AB16F8284FA0}" name=" ⁠When using AI, how often do you fully understand the solution before using or submitting it?" dataDxfId="7"/>
    <tableColumn id="33" xr3:uid="{287F058A-38CD-9749-8A53-259E8E8AEF66}" name="If AI tools were unavailable for one week before assignments/projects are due, how would your performance be affected" dataDxfId="6"/>
    <tableColumn id="34" xr3:uid="{36A96A50-C4F8-E74F-AEEC-885D44C18AB1}" name="Using AI chatbots has improved my academic performance" dataDxfId="5"/>
    <tableColumn id="35" xr3:uid="{5B97B054-1D89-C746-819F-C9C6E77410D3}" name="Integrating AI chatbots into my learning process has enhanced my overall academic productivity " dataDxfId="4"/>
    <tableColumn id="36" xr3:uid="{92FE85DC-9774-7D4E-A295-067867FDD1B3}" name="AI chatbots enhance my knowledge and academic performance " dataDxfId="3"/>
    <tableColumn id="37" xr3:uid="{BEAE34EA-3AFE-D241-B4D5-D3F3C0A247EA}" name="The services offered by AI chatbots help me gain new knowledge and skills " dataDxfId="2"/>
    <tableColumn id="38" xr3:uid="{D06F3276-5071-7144-B0B5-C399778E4A4E}" name="AI chatbot services assist me in identifying and overcoming challenges in my academic pursuits " dataDxfId="1"/>
    <tableColumn id="39" xr3:uid="{212F5616-B4A2-5043-9A03-05E5E5FAE264}" name="Utilizing AI chatbots has enhanced the development of my research mindset across various field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2"/>
  <sheetViews>
    <sheetView topLeftCell="AI1" zoomScale="150" workbookViewId="0">
      <pane ySplit="1" topLeftCell="A126" activePane="bottomLeft" state="frozen"/>
      <selection pane="bottomLeft" activeCell="Y92" sqref="Y92:AM152"/>
    </sheetView>
  </sheetViews>
  <sheetFormatPr defaultColWidth="8.85546875" defaultRowHeight="15"/>
  <cols>
    <col min="1" max="6" width="20" bestFit="1" customWidth="1"/>
    <col min="7" max="7" width="30.28515625" bestFit="1" customWidth="1"/>
    <col min="8" max="8" width="22.7109375" bestFit="1" customWidth="1"/>
    <col min="9" max="11" width="20" bestFit="1" customWidth="1"/>
    <col min="12" max="12" width="24.140625" bestFit="1" customWidth="1"/>
    <col min="13" max="13" width="40.42578125" bestFit="1" customWidth="1"/>
    <col min="14" max="14" width="48.85546875" bestFit="1" customWidth="1"/>
    <col min="15" max="15" width="29.42578125" bestFit="1" customWidth="1"/>
    <col min="16" max="16" width="29.140625" bestFit="1" customWidth="1"/>
    <col min="17" max="17" width="33.7109375" bestFit="1" customWidth="1"/>
    <col min="18" max="18" width="45.28515625" bestFit="1" customWidth="1"/>
    <col min="19" max="19" width="56" bestFit="1" customWidth="1"/>
    <col min="20" max="20" width="51.140625" bestFit="1" customWidth="1"/>
    <col min="21" max="21" width="31.85546875" bestFit="1" customWidth="1"/>
    <col min="22" max="22" width="42.7109375" bestFit="1" customWidth="1"/>
    <col min="23" max="23" width="41.140625" bestFit="1" customWidth="1"/>
    <col min="24" max="24" width="66.85546875" bestFit="1" customWidth="1"/>
    <col min="25" max="25" width="58.28515625" bestFit="1" customWidth="1"/>
    <col min="26" max="38" width="20" bestFit="1" customWidth="1"/>
    <col min="39" max="39" width="79.425781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9</v>
      </c>
      <c r="B2" s="1">
        <v>46085.590891203698</v>
      </c>
      <c r="C2" s="1">
        <v>46085.594456018502</v>
      </c>
      <c r="D2" t="s">
        <v>39</v>
      </c>
      <c r="F2" s="1"/>
      <c r="G2" t="s">
        <v>40</v>
      </c>
      <c r="H2" t="s">
        <v>41</v>
      </c>
      <c r="I2" t="s">
        <v>42</v>
      </c>
      <c r="J2" t="s">
        <v>43</v>
      </c>
      <c r="K2" t="s">
        <v>44</v>
      </c>
      <c r="L2" s="2" t="s">
        <v>45</v>
      </c>
      <c r="M2" s="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50</v>
      </c>
      <c r="S2" s="2">
        <v>4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s="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61</v>
      </c>
      <c r="AH2" t="s">
        <v>64</v>
      </c>
      <c r="AI2" t="s">
        <v>64</v>
      </c>
      <c r="AJ2" t="s">
        <v>65</v>
      </c>
      <c r="AK2" t="s">
        <v>66</v>
      </c>
      <c r="AL2" t="s">
        <v>66</v>
      </c>
      <c r="AM2" t="s">
        <v>65</v>
      </c>
    </row>
    <row r="3" spans="1:39">
      <c r="A3">
        <v>10</v>
      </c>
      <c r="B3" s="1">
        <v>46085.768587963001</v>
      </c>
      <c r="C3" s="1">
        <v>46085.770868055602</v>
      </c>
      <c r="D3" t="s">
        <v>39</v>
      </c>
      <c r="F3" s="1"/>
      <c r="G3" t="s">
        <v>40</v>
      </c>
      <c r="H3" t="s">
        <v>41</v>
      </c>
      <c r="I3" t="s">
        <v>67</v>
      </c>
      <c r="J3" t="s">
        <v>68</v>
      </c>
      <c r="K3" t="s">
        <v>69</v>
      </c>
      <c r="L3" s="2" t="s">
        <v>70</v>
      </c>
      <c r="M3" s="2" t="s">
        <v>71</v>
      </c>
      <c r="N3" t="s">
        <v>72</v>
      </c>
      <c r="O3" t="s">
        <v>73</v>
      </c>
      <c r="P3" t="s">
        <v>49</v>
      </c>
      <c r="Q3" t="s">
        <v>50</v>
      </c>
      <c r="R3" t="s">
        <v>50</v>
      </c>
      <c r="S3" s="2">
        <v>15</v>
      </c>
      <c r="T3" t="s">
        <v>74</v>
      </c>
      <c r="U3" t="s">
        <v>75</v>
      </c>
      <c r="V3" t="s">
        <v>53</v>
      </c>
      <c r="W3" t="s">
        <v>76</v>
      </c>
      <c r="X3" t="s">
        <v>77</v>
      </c>
      <c r="Y3" t="s">
        <v>78</v>
      </c>
      <c r="Z3" t="s">
        <v>78</v>
      </c>
      <c r="AA3" t="s">
        <v>79</v>
      </c>
      <c r="AB3" s="2" t="s">
        <v>80</v>
      </c>
      <c r="AC3" t="s">
        <v>81</v>
      </c>
      <c r="AD3" t="s">
        <v>82</v>
      </c>
      <c r="AE3" t="s">
        <v>62</v>
      </c>
      <c r="AF3" t="s">
        <v>63</v>
      </c>
      <c r="AG3" t="s">
        <v>83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  <c r="AM3" t="s">
        <v>84</v>
      </c>
    </row>
    <row r="4" spans="1:39">
      <c r="A4">
        <v>11</v>
      </c>
      <c r="B4" s="1">
        <v>46085.7827314815</v>
      </c>
      <c r="C4" s="1">
        <v>46085.784699074102</v>
      </c>
      <c r="D4" t="s">
        <v>39</v>
      </c>
      <c r="F4" s="1"/>
      <c r="G4" t="s">
        <v>85</v>
      </c>
      <c r="H4" t="s">
        <v>86</v>
      </c>
      <c r="I4" t="s">
        <v>87</v>
      </c>
      <c r="J4" t="s">
        <v>68</v>
      </c>
      <c r="K4" t="s">
        <v>44</v>
      </c>
      <c r="L4" s="2" t="s">
        <v>88</v>
      </c>
      <c r="M4" s="2" t="s">
        <v>46</v>
      </c>
      <c r="N4" t="s">
        <v>89</v>
      </c>
      <c r="O4" t="s">
        <v>90</v>
      </c>
      <c r="P4" t="s">
        <v>49</v>
      </c>
      <c r="Q4" t="s">
        <v>50</v>
      </c>
      <c r="R4" t="s">
        <v>50</v>
      </c>
      <c r="S4" s="2">
        <v>7</v>
      </c>
      <c r="T4" t="s">
        <v>91</v>
      </c>
      <c r="U4" t="s">
        <v>92</v>
      </c>
      <c r="V4" t="s">
        <v>93</v>
      </c>
      <c r="W4" t="s">
        <v>76</v>
      </c>
      <c r="X4" t="s">
        <v>94</v>
      </c>
      <c r="Y4" t="s">
        <v>56</v>
      </c>
      <c r="Z4" t="s">
        <v>56</v>
      </c>
      <c r="AA4" t="s">
        <v>95</v>
      </c>
      <c r="AB4" s="2" t="s">
        <v>70</v>
      </c>
      <c r="AC4" t="s">
        <v>96</v>
      </c>
      <c r="AD4" t="s">
        <v>82</v>
      </c>
      <c r="AE4" t="s">
        <v>97</v>
      </c>
      <c r="AF4" t="s">
        <v>53</v>
      </c>
      <c r="AG4" t="s">
        <v>83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</row>
    <row r="5" spans="1:39">
      <c r="A5">
        <v>12</v>
      </c>
      <c r="B5" s="1">
        <v>46085.788090277798</v>
      </c>
      <c r="C5" s="1">
        <v>46085.790844907402</v>
      </c>
      <c r="D5" t="s">
        <v>39</v>
      </c>
      <c r="F5" s="1"/>
      <c r="G5" t="s">
        <v>98</v>
      </c>
      <c r="H5" t="s">
        <v>99</v>
      </c>
      <c r="I5" t="s">
        <v>100</v>
      </c>
      <c r="J5" t="s">
        <v>68</v>
      </c>
      <c r="K5" t="s">
        <v>101</v>
      </c>
      <c r="L5" s="2" t="s">
        <v>45</v>
      </c>
      <c r="M5" s="2" t="s">
        <v>102</v>
      </c>
      <c r="N5" t="s">
        <v>72</v>
      </c>
      <c r="O5" t="s">
        <v>73</v>
      </c>
      <c r="P5" t="s">
        <v>49</v>
      </c>
      <c r="Q5" t="s">
        <v>50</v>
      </c>
      <c r="R5" t="s">
        <v>103</v>
      </c>
      <c r="S5" s="2">
        <v>3</v>
      </c>
      <c r="T5" t="s">
        <v>104</v>
      </c>
      <c r="U5" t="s">
        <v>75</v>
      </c>
      <c r="V5" t="s">
        <v>63</v>
      </c>
      <c r="W5" t="s">
        <v>105</v>
      </c>
      <c r="X5" t="s">
        <v>106</v>
      </c>
      <c r="Y5" t="s">
        <v>56</v>
      </c>
      <c r="Z5" t="s">
        <v>57</v>
      </c>
      <c r="AA5" t="s">
        <v>58</v>
      </c>
      <c r="AB5" s="2" t="s">
        <v>80</v>
      </c>
      <c r="AC5" t="s">
        <v>60</v>
      </c>
      <c r="AD5" t="s">
        <v>61</v>
      </c>
      <c r="AE5" t="s">
        <v>107</v>
      </c>
      <c r="AF5" t="s">
        <v>103</v>
      </c>
      <c r="AG5" t="s">
        <v>61</v>
      </c>
      <c r="AH5" t="s">
        <v>64</v>
      </c>
      <c r="AI5" t="s">
        <v>64</v>
      </c>
      <c r="AJ5" t="s">
        <v>65</v>
      </c>
      <c r="AK5" t="s">
        <v>66</v>
      </c>
      <c r="AL5" t="s">
        <v>64</v>
      </c>
      <c r="AM5" t="s">
        <v>66</v>
      </c>
    </row>
    <row r="6" spans="1:39">
      <c r="A6">
        <v>13</v>
      </c>
      <c r="B6" s="1">
        <v>46085.7949884259</v>
      </c>
      <c r="C6" s="1">
        <v>46085.797083333302</v>
      </c>
      <c r="D6" t="s">
        <v>39</v>
      </c>
      <c r="F6" s="1"/>
      <c r="G6" t="s">
        <v>85</v>
      </c>
      <c r="H6" t="s">
        <v>41</v>
      </c>
      <c r="I6" t="s">
        <v>108</v>
      </c>
      <c r="J6" t="s">
        <v>43</v>
      </c>
      <c r="K6" t="s">
        <v>69</v>
      </c>
      <c r="L6" s="2" t="s">
        <v>109</v>
      </c>
      <c r="M6" s="2" t="s">
        <v>46</v>
      </c>
      <c r="N6" t="s">
        <v>110</v>
      </c>
      <c r="O6" t="s">
        <v>73</v>
      </c>
      <c r="P6" t="s">
        <v>49</v>
      </c>
      <c r="Q6" t="s">
        <v>103</v>
      </c>
      <c r="R6" t="s">
        <v>50</v>
      </c>
      <c r="S6" s="2">
        <v>2</v>
      </c>
      <c r="T6" t="s">
        <v>91</v>
      </c>
      <c r="U6" t="s">
        <v>75</v>
      </c>
      <c r="V6" t="s">
        <v>103</v>
      </c>
      <c r="W6" t="s">
        <v>76</v>
      </c>
      <c r="X6" t="s">
        <v>111</v>
      </c>
      <c r="Y6" t="s">
        <v>56</v>
      </c>
      <c r="Z6" t="s">
        <v>56</v>
      </c>
      <c r="AA6" t="s">
        <v>112</v>
      </c>
      <c r="AB6" s="2" t="s">
        <v>80</v>
      </c>
      <c r="AC6" t="s">
        <v>113</v>
      </c>
      <c r="AD6" t="s">
        <v>82</v>
      </c>
      <c r="AE6" t="s">
        <v>97</v>
      </c>
      <c r="AF6" t="s">
        <v>63</v>
      </c>
      <c r="AG6" t="s">
        <v>83</v>
      </c>
      <c r="AH6" t="s">
        <v>64</v>
      </c>
      <c r="AI6" t="s">
        <v>64</v>
      </c>
      <c r="AJ6" t="s">
        <v>64</v>
      </c>
      <c r="AK6" t="s">
        <v>65</v>
      </c>
      <c r="AL6" t="s">
        <v>64</v>
      </c>
      <c r="AM6" t="s">
        <v>64</v>
      </c>
    </row>
    <row r="7" spans="1:39">
      <c r="A7">
        <v>14</v>
      </c>
      <c r="B7" s="1">
        <v>46085.805613425902</v>
      </c>
      <c r="C7" s="1">
        <v>46085.8139814815</v>
      </c>
      <c r="D7" t="s">
        <v>39</v>
      </c>
      <c r="F7" s="1"/>
      <c r="G7" t="s">
        <v>85</v>
      </c>
      <c r="H7" t="s">
        <v>41</v>
      </c>
      <c r="I7" t="s">
        <v>114</v>
      </c>
      <c r="J7" t="s">
        <v>68</v>
      </c>
      <c r="K7" t="s">
        <v>69</v>
      </c>
      <c r="L7" s="2" t="s">
        <v>70</v>
      </c>
      <c r="M7" s="2" t="s">
        <v>115</v>
      </c>
      <c r="N7" t="s">
        <v>72</v>
      </c>
      <c r="O7" t="s">
        <v>73</v>
      </c>
      <c r="P7" t="s">
        <v>49</v>
      </c>
      <c r="Q7" t="s">
        <v>63</v>
      </c>
      <c r="R7" t="s">
        <v>50</v>
      </c>
      <c r="S7" s="2">
        <v>1</v>
      </c>
      <c r="T7" t="s">
        <v>51</v>
      </c>
      <c r="U7" t="s">
        <v>52</v>
      </c>
      <c r="V7" t="s">
        <v>93</v>
      </c>
      <c r="W7" t="s">
        <v>116</v>
      </c>
      <c r="X7" t="s">
        <v>117</v>
      </c>
      <c r="Y7" t="s">
        <v>56</v>
      </c>
      <c r="Z7" t="s">
        <v>78</v>
      </c>
      <c r="AA7" t="s">
        <v>58</v>
      </c>
      <c r="AB7" s="2" t="s">
        <v>80</v>
      </c>
      <c r="AC7" t="s">
        <v>60</v>
      </c>
      <c r="AD7" t="s">
        <v>61</v>
      </c>
      <c r="AE7" t="s">
        <v>118</v>
      </c>
      <c r="AF7" t="s">
        <v>63</v>
      </c>
      <c r="AG7" t="s">
        <v>61</v>
      </c>
      <c r="AH7" t="s">
        <v>64</v>
      </c>
      <c r="AI7" t="s">
        <v>84</v>
      </c>
      <c r="AJ7" t="s">
        <v>64</v>
      </c>
      <c r="AK7" t="s">
        <v>64</v>
      </c>
      <c r="AL7" t="s">
        <v>65</v>
      </c>
      <c r="AM7" t="s">
        <v>84</v>
      </c>
    </row>
    <row r="8" spans="1:39">
      <c r="A8">
        <v>15</v>
      </c>
      <c r="B8" s="1">
        <v>46085.817997685197</v>
      </c>
      <c r="C8" s="1">
        <v>46085.8208564815</v>
      </c>
      <c r="D8" t="s">
        <v>39</v>
      </c>
      <c r="F8" s="1"/>
      <c r="G8" t="s">
        <v>85</v>
      </c>
      <c r="H8" t="s">
        <v>41</v>
      </c>
      <c r="I8" t="s">
        <v>119</v>
      </c>
      <c r="J8" t="s">
        <v>68</v>
      </c>
      <c r="K8" t="s">
        <v>69</v>
      </c>
      <c r="L8" s="2" t="s">
        <v>120</v>
      </c>
      <c r="M8" s="2" t="s">
        <v>46</v>
      </c>
      <c r="N8" t="s">
        <v>110</v>
      </c>
      <c r="O8" t="s">
        <v>73</v>
      </c>
      <c r="P8" t="s">
        <v>49</v>
      </c>
      <c r="Q8" t="s">
        <v>103</v>
      </c>
      <c r="R8" t="s">
        <v>50</v>
      </c>
      <c r="S8" s="2">
        <v>3</v>
      </c>
      <c r="T8" t="s">
        <v>91</v>
      </c>
      <c r="U8" t="s">
        <v>121</v>
      </c>
      <c r="V8" t="s">
        <v>103</v>
      </c>
      <c r="W8" t="s">
        <v>122</v>
      </c>
      <c r="X8" t="s">
        <v>123</v>
      </c>
      <c r="Y8" t="s">
        <v>56</v>
      </c>
      <c r="Z8" t="s">
        <v>78</v>
      </c>
      <c r="AA8" t="s">
        <v>58</v>
      </c>
      <c r="AB8" s="2" t="s">
        <v>80</v>
      </c>
      <c r="AC8" t="s">
        <v>60</v>
      </c>
      <c r="AD8" t="s">
        <v>61</v>
      </c>
      <c r="AE8" t="s">
        <v>62</v>
      </c>
      <c r="AF8" t="s">
        <v>53</v>
      </c>
      <c r="AG8" t="s">
        <v>61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</row>
    <row r="9" spans="1:39">
      <c r="A9">
        <v>16</v>
      </c>
      <c r="B9" s="1">
        <v>46085.814837963</v>
      </c>
      <c r="C9" s="1">
        <v>46085.822395833296</v>
      </c>
      <c r="D9" t="s">
        <v>39</v>
      </c>
      <c r="F9" s="1"/>
      <c r="G9" t="s">
        <v>124</v>
      </c>
      <c r="H9" t="s">
        <v>41</v>
      </c>
      <c r="I9" t="s">
        <v>125</v>
      </c>
      <c r="J9" t="s">
        <v>43</v>
      </c>
      <c r="K9" t="s">
        <v>101</v>
      </c>
      <c r="L9" s="2" t="s">
        <v>126</v>
      </c>
      <c r="M9" s="2" t="s">
        <v>46</v>
      </c>
      <c r="N9" t="s">
        <v>110</v>
      </c>
      <c r="O9" t="s">
        <v>48</v>
      </c>
      <c r="P9" t="s">
        <v>49</v>
      </c>
      <c r="Q9" t="s">
        <v>63</v>
      </c>
      <c r="R9" t="s">
        <v>53</v>
      </c>
      <c r="S9" s="2">
        <v>3</v>
      </c>
      <c r="T9" t="s">
        <v>74</v>
      </c>
      <c r="U9" t="s">
        <v>121</v>
      </c>
      <c r="V9" t="s">
        <v>50</v>
      </c>
      <c r="W9" t="s">
        <v>122</v>
      </c>
      <c r="X9" t="s">
        <v>127</v>
      </c>
      <c r="Y9" t="s">
        <v>56</v>
      </c>
      <c r="Z9" t="s">
        <v>78</v>
      </c>
      <c r="AA9" t="s">
        <v>95</v>
      </c>
      <c r="AB9" s="2" t="s">
        <v>70</v>
      </c>
      <c r="AC9" t="s">
        <v>113</v>
      </c>
      <c r="AD9" t="s">
        <v>128</v>
      </c>
      <c r="AE9" t="s">
        <v>97</v>
      </c>
      <c r="AF9" t="s">
        <v>50</v>
      </c>
      <c r="AG9" t="s">
        <v>128</v>
      </c>
      <c r="AH9" t="s">
        <v>84</v>
      </c>
      <c r="AI9" t="s">
        <v>84</v>
      </c>
      <c r="AJ9" t="s">
        <v>84</v>
      </c>
      <c r="AK9" t="s">
        <v>65</v>
      </c>
      <c r="AL9" t="s">
        <v>65</v>
      </c>
      <c r="AM9" t="s">
        <v>64</v>
      </c>
    </row>
    <row r="10" spans="1:39">
      <c r="A10">
        <v>17</v>
      </c>
      <c r="B10" s="1">
        <v>46085.854421296302</v>
      </c>
      <c r="C10" s="1">
        <v>46085.857858796298</v>
      </c>
      <c r="D10" t="s">
        <v>39</v>
      </c>
      <c r="F10" s="1"/>
      <c r="G10" t="s">
        <v>40</v>
      </c>
      <c r="H10" t="s">
        <v>41</v>
      </c>
      <c r="I10" t="s">
        <v>129</v>
      </c>
      <c r="J10" t="s">
        <v>68</v>
      </c>
      <c r="K10" t="s">
        <v>69</v>
      </c>
      <c r="L10" s="2" t="s">
        <v>130</v>
      </c>
      <c r="M10" s="2" t="s">
        <v>71</v>
      </c>
      <c r="N10" t="s">
        <v>110</v>
      </c>
      <c r="O10" t="s">
        <v>73</v>
      </c>
      <c r="P10" t="s">
        <v>49</v>
      </c>
      <c r="Q10" t="s">
        <v>103</v>
      </c>
      <c r="R10" t="s">
        <v>103</v>
      </c>
      <c r="S10" s="2">
        <v>7</v>
      </c>
      <c r="T10" t="s">
        <v>91</v>
      </c>
      <c r="U10" t="s">
        <v>92</v>
      </c>
      <c r="V10" t="s">
        <v>53</v>
      </c>
      <c r="W10" t="s">
        <v>76</v>
      </c>
      <c r="X10" t="s">
        <v>131</v>
      </c>
      <c r="Y10" t="s">
        <v>56</v>
      </c>
      <c r="Z10" t="s">
        <v>56</v>
      </c>
      <c r="AA10" t="s">
        <v>58</v>
      </c>
      <c r="AB10" s="2" t="s">
        <v>70</v>
      </c>
      <c r="AC10" t="s">
        <v>113</v>
      </c>
      <c r="AD10" t="s">
        <v>82</v>
      </c>
      <c r="AE10" t="s">
        <v>62</v>
      </c>
      <c r="AF10" t="s">
        <v>53</v>
      </c>
      <c r="AG10" t="s">
        <v>61</v>
      </c>
      <c r="AH10" t="s">
        <v>64</v>
      </c>
      <c r="AI10" t="s">
        <v>64</v>
      </c>
      <c r="AJ10" t="s">
        <v>84</v>
      </c>
      <c r="AK10" t="s">
        <v>66</v>
      </c>
      <c r="AL10" t="s">
        <v>65</v>
      </c>
      <c r="AM10" t="s">
        <v>65</v>
      </c>
    </row>
    <row r="11" spans="1:39">
      <c r="A11">
        <v>18</v>
      </c>
      <c r="B11" s="1">
        <v>46085.867476851803</v>
      </c>
      <c r="C11" s="1">
        <v>46085.876377314802</v>
      </c>
      <c r="D11" t="s">
        <v>39</v>
      </c>
      <c r="F11" s="1"/>
      <c r="G11" t="s">
        <v>40</v>
      </c>
      <c r="H11" t="s">
        <v>132</v>
      </c>
      <c r="I11" t="s">
        <v>133</v>
      </c>
      <c r="J11" t="s">
        <v>43</v>
      </c>
      <c r="K11" t="s">
        <v>101</v>
      </c>
      <c r="L11" s="2" t="s">
        <v>134</v>
      </c>
      <c r="M11" s="2" t="s">
        <v>71</v>
      </c>
      <c r="N11" t="s">
        <v>72</v>
      </c>
      <c r="O11" t="s">
        <v>135</v>
      </c>
      <c r="P11" t="s">
        <v>49</v>
      </c>
      <c r="Q11" t="s">
        <v>93</v>
      </c>
      <c r="R11" t="s">
        <v>53</v>
      </c>
      <c r="S11" s="2">
        <v>3</v>
      </c>
      <c r="T11" t="s">
        <v>91</v>
      </c>
      <c r="U11" t="s">
        <v>121</v>
      </c>
      <c r="V11" t="s">
        <v>50</v>
      </c>
      <c r="W11" t="s">
        <v>105</v>
      </c>
      <c r="X11" t="s">
        <v>136</v>
      </c>
      <c r="Y11" t="s">
        <v>57</v>
      </c>
      <c r="Z11" t="s">
        <v>78</v>
      </c>
      <c r="AA11" t="s">
        <v>95</v>
      </c>
      <c r="AB11" s="2" t="s">
        <v>70</v>
      </c>
      <c r="AC11" t="s">
        <v>113</v>
      </c>
      <c r="AD11" t="s">
        <v>82</v>
      </c>
      <c r="AE11" t="s">
        <v>107</v>
      </c>
      <c r="AF11" t="s">
        <v>53</v>
      </c>
      <c r="AG11" t="s">
        <v>83</v>
      </c>
      <c r="AH11" t="s">
        <v>64</v>
      </c>
      <c r="AI11" t="s">
        <v>66</v>
      </c>
      <c r="AJ11" t="s">
        <v>64</v>
      </c>
      <c r="AK11" t="s">
        <v>64</v>
      </c>
      <c r="AL11" t="s">
        <v>64</v>
      </c>
      <c r="AM11" t="s">
        <v>66</v>
      </c>
    </row>
    <row r="12" spans="1:39">
      <c r="A12">
        <v>19</v>
      </c>
      <c r="B12" s="1">
        <v>46085.904525462996</v>
      </c>
      <c r="C12" s="1">
        <v>46085.9067476852</v>
      </c>
      <c r="D12" t="s">
        <v>39</v>
      </c>
      <c r="F12" s="1"/>
      <c r="G12" t="s">
        <v>85</v>
      </c>
      <c r="H12" t="s">
        <v>41</v>
      </c>
      <c r="I12" t="s">
        <v>137</v>
      </c>
      <c r="J12" t="s">
        <v>68</v>
      </c>
      <c r="K12" t="s">
        <v>69</v>
      </c>
      <c r="L12" s="2" t="s">
        <v>88</v>
      </c>
      <c r="M12" s="2" t="s">
        <v>115</v>
      </c>
      <c r="N12" t="s">
        <v>72</v>
      </c>
      <c r="O12" t="s">
        <v>73</v>
      </c>
      <c r="P12" t="s">
        <v>138</v>
      </c>
      <c r="Q12" t="s">
        <v>103</v>
      </c>
      <c r="R12" t="s">
        <v>53</v>
      </c>
      <c r="S12" s="2">
        <v>15</v>
      </c>
      <c r="T12" t="s">
        <v>91</v>
      </c>
      <c r="U12" t="s">
        <v>121</v>
      </c>
      <c r="V12" t="s">
        <v>50</v>
      </c>
      <c r="W12" t="s">
        <v>122</v>
      </c>
      <c r="X12" t="s">
        <v>139</v>
      </c>
      <c r="Y12" t="s">
        <v>56</v>
      </c>
      <c r="Z12" t="s">
        <v>56</v>
      </c>
      <c r="AA12" t="s">
        <v>58</v>
      </c>
      <c r="AB12" s="2" t="s">
        <v>80</v>
      </c>
      <c r="AC12" t="s">
        <v>113</v>
      </c>
      <c r="AD12" t="s">
        <v>61</v>
      </c>
      <c r="AE12" t="s">
        <v>62</v>
      </c>
      <c r="AF12" t="s">
        <v>63</v>
      </c>
      <c r="AG12" t="s">
        <v>61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</row>
    <row r="13" spans="1:39">
      <c r="A13">
        <v>20</v>
      </c>
      <c r="B13" s="1">
        <v>46086.0461574074</v>
      </c>
      <c r="C13" s="1">
        <v>46086.050486111097</v>
      </c>
      <c r="D13" t="s">
        <v>39</v>
      </c>
      <c r="F13" s="1"/>
      <c r="G13" t="s">
        <v>85</v>
      </c>
      <c r="H13" t="s">
        <v>41</v>
      </c>
      <c r="I13" t="s">
        <v>140</v>
      </c>
      <c r="J13" t="s">
        <v>68</v>
      </c>
      <c r="K13" t="s">
        <v>69</v>
      </c>
      <c r="L13" s="2" t="s">
        <v>141</v>
      </c>
      <c r="M13" s="2" t="s">
        <v>115</v>
      </c>
      <c r="N13" t="s">
        <v>110</v>
      </c>
      <c r="O13" t="s">
        <v>73</v>
      </c>
      <c r="P13" t="s">
        <v>49</v>
      </c>
      <c r="Q13" t="s">
        <v>53</v>
      </c>
      <c r="R13" t="s">
        <v>53</v>
      </c>
      <c r="S13" s="2">
        <v>2</v>
      </c>
      <c r="T13" t="s">
        <v>91</v>
      </c>
      <c r="U13" t="s">
        <v>52</v>
      </c>
      <c r="V13" t="s">
        <v>103</v>
      </c>
      <c r="W13" t="s">
        <v>116</v>
      </c>
      <c r="X13" t="s">
        <v>111</v>
      </c>
      <c r="Y13" t="s">
        <v>57</v>
      </c>
      <c r="Z13" t="s">
        <v>56</v>
      </c>
      <c r="AA13" t="s">
        <v>58</v>
      </c>
      <c r="AB13" s="2" t="s">
        <v>142</v>
      </c>
      <c r="AC13" t="s">
        <v>60</v>
      </c>
      <c r="AD13" t="s">
        <v>128</v>
      </c>
      <c r="AE13" t="s">
        <v>118</v>
      </c>
      <c r="AF13" t="s">
        <v>50</v>
      </c>
      <c r="AG13" t="s">
        <v>83</v>
      </c>
      <c r="AH13" t="s">
        <v>66</v>
      </c>
      <c r="AI13" t="s">
        <v>84</v>
      </c>
      <c r="AJ13" t="s">
        <v>84</v>
      </c>
      <c r="AK13" t="s">
        <v>84</v>
      </c>
      <c r="AL13" t="s">
        <v>84</v>
      </c>
      <c r="AM13" t="s">
        <v>64</v>
      </c>
    </row>
    <row r="14" spans="1:39">
      <c r="A14">
        <v>21</v>
      </c>
      <c r="B14" s="1">
        <v>46086.3338194444</v>
      </c>
      <c r="C14" s="1">
        <v>46086.336990740703</v>
      </c>
      <c r="D14" t="s">
        <v>39</v>
      </c>
      <c r="F14" s="1"/>
      <c r="G14" t="s">
        <v>40</v>
      </c>
      <c r="H14" t="s">
        <v>41</v>
      </c>
      <c r="I14" t="s">
        <v>143</v>
      </c>
      <c r="J14" t="s">
        <v>43</v>
      </c>
      <c r="K14" t="s">
        <v>69</v>
      </c>
      <c r="L14" s="2" t="s">
        <v>70</v>
      </c>
      <c r="M14" s="2" t="s">
        <v>71</v>
      </c>
      <c r="N14" t="s">
        <v>72</v>
      </c>
      <c r="O14" t="s">
        <v>135</v>
      </c>
      <c r="P14" t="s">
        <v>49</v>
      </c>
      <c r="Q14" t="s">
        <v>63</v>
      </c>
      <c r="R14" t="s">
        <v>63</v>
      </c>
      <c r="S14" s="2">
        <v>3</v>
      </c>
      <c r="T14" t="s">
        <v>51</v>
      </c>
      <c r="U14" t="s">
        <v>121</v>
      </c>
      <c r="V14" t="s">
        <v>63</v>
      </c>
      <c r="W14" t="s">
        <v>116</v>
      </c>
      <c r="X14" t="s">
        <v>144</v>
      </c>
      <c r="Y14" t="s">
        <v>56</v>
      </c>
      <c r="Z14" t="s">
        <v>56</v>
      </c>
      <c r="AA14" t="s">
        <v>58</v>
      </c>
      <c r="AB14" s="2" t="s">
        <v>80</v>
      </c>
      <c r="AC14" t="s">
        <v>60</v>
      </c>
      <c r="AD14" t="s">
        <v>61</v>
      </c>
      <c r="AE14" t="s">
        <v>97</v>
      </c>
      <c r="AF14" t="s">
        <v>63</v>
      </c>
      <c r="AG14" t="s">
        <v>61</v>
      </c>
      <c r="AH14" t="s">
        <v>64</v>
      </c>
      <c r="AI14" t="s">
        <v>64</v>
      </c>
      <c r="AJ14" t="s">
        <v>84</v>
      </c>
      <c r="AK14" t="s">
        <v>84</v>
      </c>
      <c r="AL14" t="s">
        <v>84</v>
      </c>
      <c r="AM14" t="s">
        <v>84</v>
      </c>
    </row>
    <row r="15" spans="1:39">
      <c r="A15">
        <v>22</v>
      </c>
      <c r="B15" s="1">
        <v>46086.333784722199</v>
      </c>
      <c r="C15" s="1">
        <v>46086.3375115741</v>
      </c>
      <c r="D15" t="s">
        <v>39</v>
      </c>
      <c r="F15" s="1"/>
      <c r="G15" t="s">
        <v>85</v>
      </c>
      <c r="H15" t="s">
        <v>41</v>
      </c>
      <c r="I15" t="s">
        <v>145</v>
      </c>
      <c r="J15" t="s">
        <v>43</v>
      </c>
      <c r="K15" t="s">
        <v>69</v>
      </c>
      <c r="L15" s="2" t="s">
        <v>146</v>
      </c>
      <c r="M15" s="2" t="s">
        <v>147</v>
      </c>
      <c r="N15" t="s">
        <v>72</v>
      </c>
      <c r="O15" t="s">
        <v>73</v>
      </c>
      <c r="P15" t="s">
        <v>148</v>
      </c>
      <c r="Q15" t="s">
        <v>50</v>
      </c>
      <c r="R15" t="s">
        <v>50</v>
      </c>
      <c r="S15" s="2">
        <v>2</v>
      </c>
      <c r="T15" t="s">
        <v>51</v>
      </c>
      <c r="U15" t="s">
        <v>52</v>
      </c>
      <c r="V15" t="s">
        <v>50</v>
      </c>
      <c r="W15" t="s">
        <v>105</v>
      </c>
      <c r="X15" t="s">
        <v>149</v>
      </c>
      <c r="Y15" t="s">
        <v>78</v>
      </c>
      <c r="Z15" t="s">
        <v>78</v>
      </c>
      <c r="AA15" t="s">
        <v>58</v>
      </c>
      <c r="AB15" s="2" t="s">
        <v>70</v>
      </c>
      <c r="AC15" t="s">
        <v>113</v>
      </c>
      <c r="AD15" t="s">
        <v>61</v>
      </c>
      <c r="AE15" t="s">
        <v>97</v>
      </c>
      <c r="AF15" t="s">
        <v>63</v>
      </c>
      <c r="AG15" t="s">
        <v>83</v>
      </c>
      <c r="AH15" t="s">
        <v>64</v>
      </c>
      <c r="AI15" t="s">
        <v>64</v>
      </c>
      <c r="AJ15" t="s">
        <v>65</v>
      </c>
      <c r="AK15" t="s">
        <v>64</v>
      </c>
      <c r="AL15" t="s">
        <v>65</v>
      </c>
      <c r="AM15" t="s">
        <v>66</v>
      </c>
    </row>
    <row r="16" spans="1:39">
      <c r="A16">
        <v>23</v>
      </c>
      <c r="B16" s="1">
        <v>46086.333900463003</v>
      </c>
      <c r="C16" s="1">
        <v>46086.337905092601</v>
      </c>
      <c r="D16" t="s">
        <v>39</v>
      </c>
      <c r="F16" s="1"/>
      <c r="G16" t="s">
        <v>40</v>
      </c>
      <c r="H16" t="s">
        <v>132</v>
      </c>
      <c r="I16" t="s">
        <v>150</v>
      </c>
      <c r="J16" t="s">
        <v>68</v>
      </c>
      <c r="K16" t="s">
        <v>69</v>
      </c>
      <c r="L16" s="2" t="s">
        <v>70</v>
      </c>
      <c r="M16" s="2" t="s">
        <v>71</v>
      </c>
      <c r="N16" t="s">
        <v>110</v>
      </c>
      <c r="O16" t="s">
        <v>73</v>
      </c>
      <c r="P16" t="s">
        <v>49</v>
      </c>
      <c r="Q16" t="s">
        <v>103</v>
      </c>
      <c r="R16" t="s">
        <v>53</v>
      </c>
      <c r="S16" s="2">
        <v>3</v>
      </c>
      <c r="T16" t="s">
        <v>91</v>
      </c>
      <c r="U16" t="s">
        <v>52</v>
      </c>
      <c r="V16" t="s">
        <v>103</v>
      </c>
      <c r="W16" t="s">
        <v>76</v>
      </c>
      <c r="X16" t="s">
        <v>77</v>
      </c>
      <c r="Y16" t="s">
        <v>78</v>
      </c>
      <c r="Z16" t="s">
        <v>56</v>
      </c>
      <c r="AA16" t="s">
        <v>151</v>
      </c>
      <c r="AB16" s="2" t="s">
        <v>70</v>
      </c>
      <c r="AC16" t="s">
        <v>60</v>
      </c>
      <c r="AD16" t="s">
        <v>61</v>
      </c>
      <c r="AE16" t="s">
        <v>62</v>
      </c>
      <c r="AF16" t="s">
        <v>63</v>
      </c>
      <c r="AG16" t="s">
        <v>83</v>
      </c>
      <c r="AH16" t="s">
        <v>64</v>
      </c>
      <c r="AI16" t="s">
        <v>64</v>
      </c>
      <c r="AJ16" t="s">
        <v>65</v>
      </c>
      <c r="AK16" t="s">
        <v>65</v>
      </c>
      <c r="AL16" t="s">
        <v>64</v>
      </c>
      <c r="AM16" t="s">
        <v>66</v>
      </c>
    </row>
    <row r="17" spans="1:39">
      <c r="A17">
        <v>24</v>
      </c>
      <c r="B17" s="1">
        <v>46086.3370601852</v>
      </c>
      <c r="C17" s="1">
        <v>46086.338807870401</v>
      </c>
      <c r="D17" t="s">
        <v>39</v>
      </c>
      <c r="F17" s="1"/>
      <c r="G17" t="s">
        <v>85</v>
      </c>
      <c r="H17" t="s">
        <v>41</v>
      </c>
      <c r="I17" t="s">
        <v>152</v>
      </c>
      <c r="J17" t="s">
        <v>43</v>
      </c>
      <c r="K17" t="s">
        <v>69</v>
      </c>
      <c r="L17" s="2" t="s">
        <v>153</v>
      </c>
      <c r="M17" s="2" t="s">
        <v>46</v>
      </c>
      <c r="N17" t="s">
        <v>110</v>
      </c>
      <c r="O17" t="s">
        <v>90</v>
      </c>
      <c r="P17" t="s">
        <v>148</v>
      </c>
      <c r="Q17" t="s">
        <v>63</v>
      </c>
      <c r="R17" t="s">
        <v>63</v>
      </c>
      <c r="S17" s="2">
        <v>2</v>
      </c>
      <c r="T17" t="s">
        <v>154</v>
      </c>
      <c r="U17" t="s">
        <v>75</v>
      </c>
      <c r="V17" t="s">
        <v>63</v>
      </c>
      <c r="W17" t="s">
        <v>54</v>
      </c>
      <c r="X17" t="s">
        <v>155</v>
      </c>
      <c r="Y17" t="s">
        <v>56</v>
      </c>
      <c r="Z17" t="s">
        <v>56</v>
      </c>
      <c r="AA17" t="s">
        <v>58</v>
      </c>
      <c r="AB17" s="2" t="s">
        <v>59</v>
      </c>
      <c r="AC17" t="s">
        <v>60</v>
      </c>
      <c r="AD17" t="s">
        <v>82</v>
      </c>
      <c r="AE17" t="s">
        <v>118</v>
      </c>
      <c r="AF17" t="s">
        <v>53</v>
      </c>
      <c r="AG17" t="s">
        <v>83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</row>
    <row r="18" spans="1:39">
      <c r="A18">
        <v>25</v>
      </c>
      <c r="B18" s="1">
        <v>46086.337546296301</v>
      </c>
      <c r="C18" s="1">
        <v>46086.339178240698</v>
      </c>
      <c r="D18" t="s">
        <v>39</v>
      </c>
      <c r="F18" s="1"/>
      <c r="G18" t="s">
        <v>40</v>
      </c>
      <c r="H18" t="s">
        <v>41</v>
      </c>
      <c r="I18" t="s">
        <v>156</v>
      </c>
      <c r="J18" t="s">
        <v>43</v>
      </c>
      <c r="K18" t="s">
        <v>69</v>
      </c>
      <c r="L18" s="2" t="s">
        <v>70</v>
      </c>
      <c r="M18" s="2" t="s">
        <v>71</v>
      </c>
      <c r="N18" t="s">
        <v>47</v>
      </c>
      <c r="O18" t="s">
        <v>135</v>
      </c>
      <c r="P18" t="s">
        <v>49</v>
      </c>
      <c r="Q18" t="s">
        <v>50</v>
      </c>
      <c r="R18" t="s">
        <v>103</v>
      </c>
      <c r="S18" s="2">
        <v>3</v>
      </c>
      <c r="T18" t="s">
        <v>91</v>
      </c>
      <c r="U18" t="s">
        <v>92</v>
      </c>
      <c r="V18" t="s">
        <v>103</v>
      </c>
      <c r="W18" t="s">
        <v>122</v>
      </c>
      <c r="X18" t="s">
        <v>157</v>
      </c>
      <c r="Y18" t="s">
        <v>78</v>
      </c>
      <c r="Z18" t="s">
        <v>78</v>
      </c>
      <c r="AA18" t="s">
        <v>58</v>
      </c>
      <c r="AB18" s="2" t="s">
        <v>80</v>
      </c>
      <c r="AC18" t="s">
        <v>113</v>
      </c>
      <c r="AD18" t="s">
        <v>61</v>
      </c>
      <c r="AE18" t="s">
        <v>118</v>
      </c>
      <c r="AF18" t="s">
        <v>63</v>
      </c>
      <c r="AG18" t="s">
        <v>61</v>
      </c>
      <c r="AH18" t="s">
        <v>64</v>
      </c>
      <c r="AI18" t="s">
        <v>64</v>
      </c>
      <c r="AJ18" t="s">
        <v>65</v>
      </c>
      <c r="AK18" t="s">
        <v>64</v>
      </c>
      <c r="AL18" t="s">
        <v>65</v>
      </c>
      <c r="AM18" t="s">
        <v>65</v>
      </c>
    </row>
    <row r="19" spans="1:39">
      <c r="A19">
        <v>26</v>
      </c>
      <c r="B19" s="1">
        <v>46086.335150462997</v>
      </c>
      <c r="C19" s="1">
        <v>46086.3420833333</v>
      </c>
      <c r="D19" t="s">
        <v>39</v>
      </c>
      <c r="F19" s="1"/>
      <c r="G19" t="s">
        <v>40</v>
      </c>
      <c r="H19" t="s">
        <v>41</v>
      </c>
      <c r="I19" t="s">
        <v>158</v>
      </c>
      <c r="J19" t="s">
        <v>68</v>
      </c>
      <c r="K19" t="s">
        <v>69</v>
      </c>
      <c r="L19" s="2" t="s">
        <v>159</v>
      </c>
      <c r="M19" s="2" t="s">
        <v>71</v>
      </c>
      <c r="N19" t="s">
        <v>110</v>
      </c>
      <c r="O19" t="s">
        <v>73</v>
      </c>
      <c r="P19" t="s">
        <v>49</v>
      </c>
      <c r="Q19" t="s">
        <v>93</v>
      </c>
      <c r="R19" t="s">
        <v>53</v>
      </c>
      <c r="S19" s="2">
        <v>4</v>
      </c>
      <c r="T19" t="s">
        <v>74</v>
      </c>
      <c r="U19" t="s">
        <v>92</v>
      </c>
      <c r="V19" t="s">
        <v>93</v>
      </c>
      <c r="W19" t="s">
        <v>76</v>
      </c>
      <c r="X19" t="s">
        <v>160</v>
      </c>
      <c r="Y19" t="s">
        <v>56</v>
      </c>
      <c r="Z19" t="s">
        <v>57</v>
      </c>
      <c r="AA19" t="s">
        <v>151</v>
      </c>
      <c r="AB19" s="2" t="s">
        <v>80</v>
      </c>
      <c r="AC19" t="s">
        <v>113</v>
      </c>
      <c r="AD19" t="s">
        <v>61</v>
      </c>
      <c r="AE19" t="s">
        <v>62</v>
      </c>
      <c r="AF19" t="s">
        <v>63</v>
      </c>
      <c r="AG19" t="s">
        <v>83</v>
      </c>
      <c r="AH19" t="s">
        <v>64</v>
      </c>
      <c r="AI19" t="s">
        <v>64</v>
      </c>
      <c r="AJ19" t="s">
        <v>64</v>
      </c>
      <c r="AK19" t="s">
        <v>66</v>
      </c>
      <c r="AL19" t="s">
        <v>66</v>
      </c>
      <c r="AM19" t="s">
        <v>65</v>
      </c>
    </row>
    <row r="20" spans="1:39">
      <c r="A20">
        <v>27</v>
      </c>
      <c r="B20" s="1">
        <v>46086.365011574097</v>
      </c>
      <c r="C20" s="1">
        <v>46086.367847222202</v>
      </c>
      <c r="D20" t="s">
        <v>39</v>
      </c>
      <c r="F20" s="1"/>
      <c r="G20" t="s">
        <v>85</v>
      </c>
      <c r="H20" t="s">
        <v>86</v>
      </c>
      <c r="I20" t="s">
        <v>161</v>
      </c>
      <c r="J20" t="s">
        <v>68</v>
      </c>
      <c r="K20" t="s">
        <v>69</v>
      </c>
      <c r="L20" s="2" t="s">
        <v>162</v>
      </c>
      <c r="M20" s="2" t="s">
        <v>163</v>
      </c>
      <c r="N20" t="s">
        <v>110</v>
      </c>
      <c r="O20" t="s">
        <v>73</v>
      </c>
      <c r="P20" t="s">
        <v>49</v>
      </c>
      <c r="Q20" t="s">
        <v>50</v>
      </c>
      <c r="R20" t="s">
        <v>50</v>
      </c>
      <c r="S20" s="2">
        <v>7</v>
      </c>
      <c r="T20" t="s">
        <v>51</v>
      </c>
      <c r="U20" t="s">
        <v>75</v>
      </c>
      <c r="V20" t="s">
        <v>50</v>
      </c>
      <c r="W20" t="s">
        <v>122</v>
      </c>
      <c r="X20" t="s">
        <v>164</v>
      </c>
      <c r="Y20" t="s">
        <v>78</v>
      </c>
      <c r="Z20" t="s">
        <v>57</v>
      </c>
      <c r="AA20" t="s">
        <v>58</v>
      </c>
      <c r="AB20" s="2" t="s">
        <v>59</v>
      </c>
      <c r="AC20" t="s">
        <v>113</v>
      </c>
      <c r="AD20" t="s">
        <v>82</v>
      </c>
      <c r="AE20" t="s">
        <v>165</v>
      </c>
      <c r="AF20" t="s">
        <v>63</v>
      </c>
      <c r="AG20" t="s">
        <v>83</v>
      </c>
      <c r="AH20" t="s">
        <v>84</v>
      </c>
      <c r="AI20" t="s">
        <v>84</v>
      </c>
      <c r="AJ20" t="s">
        <v>84</v>
      </c>
      <c r="AK20" t="s">
        <v>65</v>
      </c>
      <c r="AL20" t="s">
        <v>64</v>
      </c>
      <c r="AM20" t="s">
        <v>66</v>
      </c>
    </row>
    <row r="21" spans="1:39">
      <c r="A21">
        <v>28</v>
      </c>
      <c r="B21" s="1">
        <v>46086.4353819444</v>
      </c>
      <c r="C21" s="1">
        <v>46086.437222222201</v>
      </c>
      <c r="D21" t="s">
        <v>39</v>
      </c>
      <c r="F21" s="1"/>
      <c r="G21" t="s">
        <v>85</v>
      </c>
      <c r="H21" t="s">
        <v>86</v>
      </c>
      <c r="I21" t="s">
        <v>87</v>
      </c>
      <c r="J21" t="s">
        <v>68</v>
      </c>
      <c r="K21" t="s">
        <v>69</v>
      </c>
      <c r="L21" s="2" t="s">
        <v>130</v>
      </c>
      <c r="M21" s="2" t="s">
        <v>166</v>
      </c>
      <c r="N21" t="s">
        <v>110</v>
      </c>
      <c r="O21" t="s">
        <v>135</v>
      </c>
      <c r="P21" t="s">
        <v>167</v>
      </c>
      <c r="Q21" t="s">
        <v>50</v>
      </c>
      <c r="R21" t="s">
        <v>50</v>
      </c>
      <c r="S21" s="2">
        <v>14</v>
      </c>
      <c r="T21" t="s">
        <v>104</v>
      </c>
      <c r="U21" t="s">
        <v>121</v>
      </c>
      <c r="V21" t="s">
        <v>63</v>
      </c>
      <c r="W21" t="s">
        <v>122</v>
      </c>
      <c r="X21" t="s">
        <v>168</v>
      </c>
      <c r="Y21" t="s">
        <v>56</v>
      </c>
      <c r="Z21" t="s">
        <v>56</v>
      </c>
      <c r="AA21" t="s">
        <v>151</v>
      </c>
      <c r="AB21" s="2" t="s">
        <v>169</v>
      </c>
      <c r="AC21" t="s">
        <v>113</v>
      </c>
      <c r="AD21" t="s">
        <v>61</v>
      </c>
      <c r="AE21" t="s">
        <v>165</v>
      </c>
      <c r="AF21" t="s">
        <v>63</v>
      </c>
      <c r="AG21" t="s">
        <v>83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84</v>
      </c>
    </row>
    <row r="22" spans="1:39">
      <c r="A22">
        <v>29</v>
      </c>
      <c r="B22" s="1">
        <v>46086.522407407399</v>
      </c>
      <c r="C22" s="1">
        <v>46086.524375000001</v>
      </c>
      <c r="D22" t="s">
        <v>39</v>
      </c>
      <c r="F22" s="1"/>
      <c r="G22" t="s">
        <v>124</v>
      </c>
      <c r="H22" t="s">
        <v>86</v>
      </c>
      <c r="I22" t="s">
        <v>170</v>
      </c>
      <c r="J22" t="s">
        <v>68</v>
      </c>
      <c r="K22" t="s">
        <v>69</v>
      </c>
      <c r="L22" s="2" t="s">
        <v>88</v>
      </c>
      <c r="M22" s="2" t="s">
        <v>115</v>
      </c>
      <c r="N22" t="s">
        <v>89</v>
      </c>
      <c r="O22" t="s">
        <v>73</v>
      </c>
      <c r="P22" t="s">
        <v>49</v>
      </c>
      <c r="Q22" t="s">
        <v>50</v>
      </c>
      <c r="R22" t="s">
        <v>50</v>
      </c>
      <c r="S22" s="2">
        <v>3</v>
      </c>
      <c r="T22" t="s">
        <v>91</v>
      </c>
      <c r="U22" t="s">
        <v>92</v>
      </c>
      <c r="V22" t="s">
        <v>103</v>
      </c>
      <c r="W22" t="s">
        <v>122</v>
      </c>
      <c r="X22" t="s">
        <v>171</v>
      </c>
      <c r="Y22" t="s">
        <v>56</v>
      </c>
      <c r="Z22" t="s">
        <v>56</v>
      </c>
      <c r="AA22" t="s">
        <v>79</v>
      </c>
      <c r="AB22" s="2" t="s">
        <v>80</v>
      </c>
      <c r="AC22" t="s">
        <v>113</v>
      </c>
      <c r="AD22" t="s">
        <v>61</v>
      </c>
      <c r="AE22" t="s">
        <v>62</v>
      </c>
      <c r="AF22" t="s">
        <v>63</v>
      </c>
      <c r="AG22" t="s">
        <v>61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84</v>
      </c>
    </row>
    <row r="23" spans="1:39">
      <c r="A23">
        <v>30</v>
      </c>
      <c r="B23" s="1">
        <v>46086.522604166697</v>
      </c>
      <c r="C23" s="1">
        <v>46086.538368055597</v>
      </c>
      <c r="D23" t="s">
        <v>39</v>
      </c>
      <c r="F23" s="1"/>
      <c r="G23" t="s">
        <v>40</v>
      </c>
      <c r="H23" t="s">
        <v>41</v>
      </c>
      <c r="I23" t="s">
        <v>133</v>
      </c>
      <c r="J23" t="s">
        <v>68</v>
      </c>
      <c r="K23" t="s">
        <v>101</v>
      </c>
      <c r="L23" s="2" t="s">
        <v>45</v>
      </c>
      <c r="M23" s="2" t="s">
        <v>71</v>
      </c>
      <c r="N23" t="s">
        <v>72</v>
      </c>
      <c r="O23" t="s">
        <v>73</v>
      </c>
      <c r="P23" t="s">
        <v>49</v>
      </c>
      <c r="Q23" t="s">
        <v>50</v>
      </c>
      <c r="R23" t="s">
        <v>50</v>
      </c>
      <c r="S23" s="2">
        <v>2</v>
      </c>
      <c r="T23" t="s">
        <v>74</v>
      </c>
      <c r="U23" t="s">
        <v>75</v>
      </c>
      <c r="V23" t="s">
        <v>93</v>
      </c>
      <c r="W23" t="s">
        <v>122</v>
      </c>
      <c r="X23" t="s">
        <v>172</v>
      </c>
      <c r="Y23" t="s">
        <v>78</v>
      </c>
      <c r="Z23" t="s">
        <v>56</v>
      </c>
      <c r="AA23" t="s">
        <v>58</v>
      </c>
      <c r="AB23" s="2" t="s">
        <v>80</v>
      </c>
      <c r="AC23" t="s">
        <v>96</v>
      </c>
      <c r="AD23" t="s">
        <v>61</v>
      </c>
      <c r="AE23" t="s">
        <v>173</v>
      </c>
      <c r="AF23" t="s">
        <v>50</v>
      </c>
      <c r="AG23" t="s">
        <v>61</v>
      </c>
      <c r="AH23" t="s">
        <v>64</v>
      </c>
      <c r="AI23" t="s">
        <v>64</v>
      </c>
      <c r="AJ23" t="s">
        <v>64</v>
      </c>
      <c r="AK23" t="s">
        <v>66</v>
      </c>
      <c r="AL23" t="s">
        <v>66</v>
      </c>
      <c r="AM23" t="s">
        <v>66</v>
      </c>
    </row>
    <row r="24" spans="1:39">
      <c r="A24">
        <v>31</v>
      </c>
      <c r="B24" s="1">
        <v>46086.539548611101</v>
      </c>
      <c r="C24" s="1">
        <v>46086.543020833298</v>
      </c>
      <c r="D24" t="s">
        <v>39</v>
      </c>
      <c r="F24" s="1"/>
      <c r="G24" t="s">
        <v>85</v>
      </c>
      <c r="H24" t="s">
        <v>86</v>
      </c>
      <c r="I24" t="s">
        <v>174</v>
      </c>
      <c r="J24" t="s">
        <v>68</v>
      </c>
      <c r="K24" t="s">
        <v>101</v>
      </c>
      <c r="L24" s="2" t="s">
        <v>175</v>
      </c>
      <c r="M24" s="2" t="s">
        <v>147</v>
      </c>
      <c r="N24" t="s">
        <v>47</v>
      </c>
      <c r="O24" t="s">
        <v>135</v>
      </c>
      <c r="P24" t="s">
        <v>49</v>
      </c>
      <c r="Q24" t="s">
        <v>50</v>
      </c>
      <c r="R24" t="s">
        <v>103</v>
      </c>
      <c r="S24" s="2">
        <v>3</v>
      </c>
      <c r="T24" t="s">
        <v>104</v>
      </c>
      <c r="U24" t="s">
        <v>121</v>
      </c>
      <c r="V24" t="s">
        <v>103</v>
      </c>
      <c r="W24" t="s">
        <v>122</v>
      </c>
      <c r="X24" t="s">
        <v>176</v>
      </c>
      <c r="Y24" t="s">
        <v>56</v>
      </c>
      <c r="Z24" t="s">
        <v>78</v>
      </c>
      <c r="AA24" t="s">
        <v>177</v>
      </c>
      <c r="AB24" s="2" t="s">
        <v>70</v>
      </c>
      <c r="AC24" t="s">
        <v>60</v>
      </c>
      <c r="AD24" t="s">
        <v>178</v>
      </c>
      <c r="AE24" t="s">
        <v>118</v>
      </c>
      <c r="AF24" t="s">
        <v>53</v>
      </c>
      <c r="AG24" t="s">
        <v>178</v>
      </c>
      <c r="AH24" t="s">
        <v>64</v>
      </c>
      <c r="AI24" t="s">
        <v>64</v>
      </c>
      <c r="AJ24" t="s">
        <v>65</v>
      </c>
      <c r="AK24" t="s">
        <v>64</v>
      </c>
      <c r="AL24" t="s">
        <v>64</v>
      </c>
      <c r="AM24" t="s">
        <v>64</v>
      </c>
    </row>
    <row r="25" spans="1:39">
      <c r="A25">
        <v>32</v>
      </c>
      <c r="B25" s="1">
        <v>46086.600949074098</v>
      </c>
      <c r="C25" s="1">
        <v>46086.6027777778</v>
      </c>
      <c r="D25" t="s">
        <v>39</v>
      </c>
      <c r="F25" s="1"/>
      <c r="G25" t="s">
        <v>40</v>
      </c>
      <c r="H25" t="s">
        <v>86</v>
      </c>
      <c r="I25" t="s">
        <v>179</v>
      </c>
      <c r="J25" t="s">
        <v>68</v>
      </c>
      <c r="K25" t="s">
        <v>69</v>
      </c>
      <c r="L25" s="2" t="s">
        <v>126</v>
      </c>
      <c r="M25" s="2" t="s">
        <v>180</v>
      </c>
      <c r="N25" t="s">
        <v>47</v>
      </c>
      <c r="O25" t="s">
        <v>73</v>
      </c>
      <c r="P25" t="s">
        <v>49</v>
      </c>
      <c r="Q25" t="s">
        <v>93</v>
      </c>
      <c r="R25" t="s">
        <v>50</v>
      </c>
      <c r="S25" s="2">
        <v>3</v>
      </c>
      <c r="T25" t="s">
        <v>74</v>
      </c>
      <c r="U25" t="s">
        <v>75</v>
      </c>
      <c r="V25" t="s">
        <v>50</v>
      </c>
      <c r="W25" t="s">
        <v>122</v>
      </c>
      <c r="X25" t="s">
        <v>111</v>
      </c>
      <c r="Y25" t="s">
        <v>56</v>
      </c>
      <c r="Z25" t="s">
        <v>57</v>
      </c>
      <c r="AA25" t="s">
        <v>58</v>
      </c>
      <c r="AB25" s="2" t="s">
        <v>70</v>
      </c>
      <c r="AC25" t="s">
        <v>113</v>
      </c>
      <c r="AD25" t="s">
        <v>128</v>
      </c>
      <c r="AE25" t="s">
        <v>173</v>
      </c>
      <c r="AF25" t="s">
        <v>53</v>
      </c>
      <c r="AG25" t="s">
        <v>128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  <c r="AM25" t="s">
        <v>84</v>
      </c>
    </row>
    <row r="26" spans="1:39">
      <c r="A26">
        <v>33</v>
      </c>
      <c r="B26" s="1">
        <v>46086.6227083333</v>
      </c>
      <c r="C26" s="1">
        <v>46086.624988425901</v>
      </c>
      <c r="D26" t="s">
        <v>39</v>
      </c>
      <c r="F26" s="1"/>
      <c r="G26" t="s">
        <v>85</v>
      </c>
      <c r="H26" t="s">
        <v>41</v>
      </c>
      <c r="I26" t="s">
        <v>181</v>
      </c>
      <c r="J26" t="s">
        <v>43</v>
      </c>
      <c r="K26" t="s">
        <v>69</v>
      </c>
      <c r="L26" s="2" t="s">
        <v>182</v>
      </c>
      <c r="M26" s="2" t="s">
        <v>115</v>
      </c>
      <c r="N26" t="s">
        <v>110</v>
      </c>
      <c r="O26" t="s">
        <v>73</v>
      </c>
      <c r="P26" t="s">
        <v>49</v>
      </c>
      <c r="Q26" t="s">
        <v>93</v>
      </c>
      <c r="R26" t="s">
        <v>63</v>
      </c>
      <c r="S26" s="2">
        <v>2</v>
      </c>
      <c r="T26" t="s">
        <v>51</v>
      </c>
      <c r="U26" t="s">
        <v>75</v>
      </c>
      <c r="V26" t="s">
        <v>50</v>
      </c>
      <c r="W26" t="s">
        <v>105</v>
      </c>
      <c r="X26" t="s">
        <v>183</v>
      </c>
      <c r="Y26" t="s">
        <v>56</v>
      </c>
      <c r="Z26" t="s">
        <v>56</v>
      </c>
      <c r="AA26" t="s">
        <v>58</v>
      </c>
      <c r="AB26" s="2" t="s">
        <v>70</v>
      </c>
      <c r="AC26" t="s">
        <v>113</v>
      </c>
      <c r="AD26" t="s">
        <v>82</v>
      </c>
      <c r="AE26" t="s">
        <v>97</v>
      </c>
      <c r="AF26" t="s">
        <v>53</v>
      </c>
      <c r="AG26" t="s">
        <v>83</v>
      </c>
      <c r="AH26" t="s">
        <v>84</v>
      </c>
      <c r="AI26" t="s">
        <v>65</v>
      </c>
      <c r="AJ26" t="s">
        <v>84</v>
      </c>
      <c r="AK26" t="s">
        <v>65</v>
      </c>
      <c r="AL26" t="s">
        <v>84</v>
      </c>
      <c r="AM26" t="s">
        <v>64</v>
      </c>
    </row>
    <row r="27" spans="1:39">
      <c r="A27">
        <v>34</v>
      </c>
      <c r="B27" s="1">
        <v>46086.814050925903</v>
      </c>
      <c r="C27" s="1">
        <v>46086.818657407399</v>
      </c>
      <c r="D27" t="s">
        <v>39</v>
      </c>
      <c r="F27" s="1"/>
      <c r="G27" t="s">
        <v>85</v>
      </c>
      <c r="H27" t="s">
        <v>86</v>
      </c>
      <c r="I27" t="s">
        <v>184</v>
      </c>
      <c r="J27" t="s">
        <v>68</v>
      </c>
      <c r="K27" t="s">
        <v>101</v>
      </c>
      <c r="L27" s="2" t="s">
        <v>185</v>
      </c>
      <c r="M27" s="2" t="s">
        <v>186</v>
      </c>
      <c r="N27" t="s">
        <v>47</v>
      </c>
      <c r="O27" t="s">
        <v>73</v>
      </c>
      <c r="P27" t="s">
        <v>49</v>
      </c>
      <c r="Q27" t="s">
        <v>63</v>
      </c>
      <c r="R27" t="s">
        <v>50</v>
      </c>
      <c r="S27" s="2">
        <v>7</v>
      </c>
      <c r="T27" t="s">
        <v>74</v>
      </c>
      <c r="U27" t="s">
        <v>121</v>
      </c>
      <c r="V27" t="s">
        <v>53</v>
      </c>
      <c r="W27" t="s">
        <v>122</v>
      </c>
      <c r="X27" t="s">
        <v>187</v>
      </c>
      <c r="Y27" t="s">
        <v>57</v>
      </c>
      <c r="Z27" t="s">
        <v>78</v>
      </c>
      <c r="AA27" t="s">
        <v>95</v>
      </c>
      <c r="AB27" s="2" t="s">
        <v>142</v>
      </c>
      <c r="AC27" t="s">
        <v>96</v>
      </c>
      <c r="AD27" t="s">
        <v>82</v>
      </c>
      <c r="AE27" t="s">
        <v>97</v>
      </c>
      <c r="AF27" t="s">
        <v>53</v>
      </c>
      <c r="AG27" t="s">
        <v>83</v>
      </c>
      <c r="AH27" t="s">
        <v>64</v>
      </c>
      <c r="AI27" t="s">
        <v>84</v>
      </c>
      <c r="AJ27" t="s">
        <v>65</v>
      </c>
      <c r="AK27" t="s">
        <v>64</v>
      </c>
      <c r="AL27" t="s">
        <v>64</v>
      </c>
      <c r="AM27" t="s">
        <v>65</v>
      </c>
    </row>
    <row r="28" spans="1:39">
      <c r="A28">
        <v>35</v>
      </c>
      <c r="B28" s="1">
        <v>46087.734548611101</v>
      </c>
      <c r="C28" s="1">
        <v>46087.737187500003</v>
      </c>
      <c r="D28" t="s">
        <v>39</v>
      </c>
      <c r="F28" s="1"/>
      <c r="G28" t="s">
        <v>124</v>
      </c>
      <c r="H28" t="s">
        <v>86</v>
      </c>
      <c r="I28" t="s">
        <v>188</v>
      </c>
      <c r="J28" t="s">
        <v>68</v>
      </c>
      <c r="K28" t="s">
        <v>69</v>
      </c>
      <c r="L28" s="2" t="s">
        <v>130</v>
      </c>
      <c r="M28" s="2" t="s">
        <v>102</v>
      </c>
      <c r="N28" t="s">
        <v>189</v>
      </c>
      <c r="O28" t="s">
        <v>73</v>
      </c>
      <c r="P28" t="s">
        <v>49</v>
      </c>
      <c r="Q28" t="s">
        <v>103</v>
      </c>
      <c r="R28" t="s">
        <v>50</v>
      </c>
      <c r="S28" s="2">
        <v>2</v>
      </c>
      <c r="T28" t="s">
        <v>74</v>
      </c>
      <c r="U28" t="s">
        <v>75</v>
      </c>
      <c r="V28" t="s">
        <v>93</v>
      </c>
      <c r="W28" t="s">
        <v>105</v>
      </c>
      <c r="X28" t="s">
        <v>190</v>
      </c>
      <c r="Y28" t="s">
        <v>78</v>
      </c>
      <c r="Z28" t="s">
        <v>56</v>
      </c>
      <c r="AA28" t="s">
        <v>95</v>
      </c>
      <c r="AB28" s="2" t="s">
        <v>70</v>
      </c>
      <c r="AC28" t="s">
        <v>113</v>
      </c>
      <c r="AD28" t="s">
        <v>82</v>
      </c>
      <c r="AE28" t="s">
        <v>118</v>
      </c>
      <c r="AF28" t="s">
        <v>53</v>
      </c>
      <c r="AG28" t="s">
        <v>83</v>
      </c>
      <c r="AH28" t="s">
        <v>64</v>
      </c>
      <c r="AI28" t="s">
        <v>64</v>
      </c>
      <c r="AJ28" t="s">
        <v>84</v>
      </c>
      <c r="AK28" t="s">
        <v>84</v>
      </c>
      <c r="AL28" t="s">
        <v>64</v>
      </c>
      <c r="AM28" t="s">
        <v>64</v>
      </c>
    </row>
    <row r="29" spans="1:39">
      <c r="A29">
        <v>36</v>
      </c>
      <c r="B29" s="1">
        <v>46104.8930555556</v>
      </c>
      <c r="C29" s="1">
        <v>46104.895277777803</v>
      </c>
      <c r="D29" t="s">
        <v>39</v>
      </c>
      <c r="F29" s="1"/>
      <c r="G29" t="s">
        <v>85</v>
      </c>
      <c r="H29" t="s">
        <v>41</v>
      </c>
      <c r="I29" t="s">
        <v>125</v>
      </c>
      <c r="J29" t="s">
        <v>68</v>
      </c>
      <c r="K29" t="s">
        <v>101</v>
      </c>
      <c r="L29" s="2" t="s">
        <v>191</v>
      </c>
      <c r="M29" s="2" t="s">
        <v>46</v>
      </c>
      <c r="N29" t="s">
        <v>110</v>
      </c>
      <c r="O29" t="s">
        <v>73</v>
      </c>
      <c r="P29" t="s">
        <v>49</v>
      </c>
      <c r="Q29" t="s">
        <v>93</v>
      </c>
      <c r="R29" t="s">
        <v>53</v>
      </c>
      <c r="S29" s="2">
        <v>3</v>
      </c>
      <c r="T29" t="s">
        <v>104</v>
      </c>
      <c r="U29" t="s">
        <v>92</v>
      </c>
      <c r="V29" t="s">
        <v>93</v>
      </c>
      <c r="W29" t="s">
        <v>122</v>
      </c>
      <c r="X29" t="s">
        <v>192</v>
      </c>
      <c r="Y29" t="s">
        <v>56</v>
      </c>
      <c r="Z29" t="s">
        <v>57</v>
      </c>
      <c r="AA29" t="s">
        <v>112</v>
      </c>
      <c r="AB29" s="2" t="s">
        <v>80</v>
      </c>
      <c r="AC29" t="s">
        <v>113</v>
      </c>
      <c r="AD29" t="s">
        <v>61</v>
      </c>
      <c r="AE29" t="s">
        <v>107</v>
      </c>
      <c r="AF29" t="s">
        <v>63</v>
      </c>
      <c r="AG29" t="s">
        <v>61</v>
      </c>
      <c r="AH29" t="s">
        <v>193</v>
      </c>
      <c r="AI29" t="s">
        <v>64</v>
      </c>
      <c r="AJ29" t="s">
        <v>65</v>
      </c>
      <c r="AK29" t="s">
        <v>66</v>
      </c>
      <c r="AL29" t="s">
        <v>193</v>
      </c>
      <c r="AM29" t="s">
        <v>193</v>
      </c>
    </row>
    <row r="30" spans="1:39">
      <c r="A30">
        <v>37</v>
      </c>
      <c r="B30" s="1">
        <v>46104.892824074101</v>
      </c>
      <c r="C30" s="1">
        <v>46104.895543981504</v>
      </c>
      <c r="D30" t="s">
        <v>39</v>
      </c>
      <c r="F30" s="1"/>
      <c r="G30" t="s">
        <v>85</v>
      </c>
      <c r="H30" t="s">
        <v>41</v>
      </c>
      <c r="I30" t="s">
        <v>194</v>
      </c>
      <c r="J30" t="s">
        <v>43</v>
      </c>
      <c r="K30" t="s">
        <v>101</v>
      </c>
      <c r="L30" s="2" t="s">
        <v>195</v>
      </c>
      <c r="M30" s="2" t="s">
        <v>163</v>
      </c>
      <c r="N30" t="s">
        <v>89</v>
      </c>
      <c r="O30" t="s">
        <v>135</v>
      </c>
      <c r="P30" t="s">
        <v>49</v>
      </c>
      <c r="Q30" t="s">
        <v>53</v>
      </c>
      <c r="R30" t="s">
        <v>53</v>
      </c>
      <c r="S30" s="2">
        <v>7</v>
      </c>
      <c r="T30" t="s">
        <v>74</v>
      </c>
      <c r="U30" t="s">
        <v>121</v>
      </c>
      <c r="V30" t="s">
        <v>103</v>
      </c>
      <c r="W30" t="s">
        <v>116</v>
      </c>
      <c r="X30" t="s">
        <v>105</v>
      </c>
      <c r="Y30" t="s">
        <v>56</v>
      </c>
      <c r="Z30" t="s">
        <v>78</v>
      </c>
      <c r="AA30" t="s">
        <v>112</v>
      </c>
      <c r="AB30" s="2" t="s">
        <v>80</v>
      </c>
      <c r="AC30" t="s">
        <v>113</v>
      </c>
      <c r="AD30" t="s">
        <v>61</v>
      </c>
      <c r="AE30" t="s">
        <v>165</v>
      </c>
      <c r="AF30" t="s">
        <v>63</v>
      </c>
      <c r="AG30" t="s">
        <v>61</v>
      </c>
      <c r="AH30" t="s">
        <v>65</v>
      </c>
      <c r="AI30" t="s">
        <v>65</v>
      </c>
      <c r="AJ30" t="s">
        <v>65</v>
      </c>
      <c r="AK30" t="s">
        <v>65</v>
      </c>
      <c r="AL30" t="s">
        <v>65</v>
      </c>
      <c r="AM30" t="s">
        <v>65</v>
      </c>
    </row>
    <row r="31" spans="1:39">
      <c r="A31">
        <v>38</v>
      </c>
      <c r="B31" s="1">
        <v>46104.925844907397</v>
      </c>
      <c r="C31" s="1">
        <v>46104.9280671296</v>
      </c>
      <c r="D31" t="s">
        <v>39</v>
      </c>
      <c r="F31" s="1"/>
      <c r="G31" t="s">
        <v>85</v>
      </c>
      <c r="H31" t="s">
        <v>41</v>
      </c>
      <c r="I31" t="s">
        <v>125</v>
      </c>
      <c r="J31" t="s">
        <v>68</v>
      </c>
      <c r="K31" t="s">
        <v>101</v>
      </c>
      <c r="L31" s="2" t="s">
        <v>59</v>
      </c>
      <c r="M31" s="2" t="s">
        <v>163</v>
      </c>
      <c r="N31" t="s">
        <v>72</v>
      </c>
      <c r="O31" t="s">
        <v>73</v>
      </c>
      <c r="P31" t="s">
        <v>49</v>
      </c>
      <c r="Q31" t="s">
        <v>53</v>
      </c>
      <c r="R31" t="s">
        <v>50</v>
      </c>
      <c r="S31" s="2">
        <v>5</v>
      </c>
      <c r="T31" t="s">
        <v>74</v>
      </c>
      <c r="U31" t="s">
        <v>75</v>
      </c>
      <c r="V31" t="s">
        <v>63</v>
      </c>
      <c r="W31" t="s">
        <v>105</v>
      </c>
      <c r="X31" t="s">
        <v>196</v>
      </c>
      <c r="Y31" t="s">
        <v>78</v>
      </c>
      <c r="Z31" t="s">
        <v>78</v>
      </c>
      <c r="AA31" t="s">
        <v>95</v>
      </c>
      <c r="AB31" s="2" t="s">
        <v>70</v>
      </c>
      <c r="AC31" t="s">
        <v>60</v>
      </c>
      <c r="AD31" t="s">
        <v>82</v>
      </c>
      <c r="AE31" t="s">
        <v>165</v>
      </c>
      <c r="AF31" t="s">
        <v>53</v>
      </c>
      <c r="AG31" t="s">
        <v>128</v>
      </c>
      <c r="AH31" t="s">
        <v>84</v>
      </c>
      <c r="AI31" t="s">
        <v>84</v>
      </c>
      <c r="AJ31" t="s">
        <v>64</v>
      </c>
      <c r="AK31" t="s">
        <v>84</v>
      </c>
      <c r="AL31" t="s">
        <v>84</v>
      </c>
      <c r="AM31" t="s">
        <v>64</v>
      </c>
    </row>
    <row r="32" spans="1:39">
      <c r="A32">
        <v>39</v>
      </c>
      <c r="B32" s="1">
        <v>46104.927083333299</v>
      </c>
      <c r="C32" s="1">
        <v>46104.9291435185</v>
      </c>
      <c r="D32" t="s">
        <v>39</v>
      </c>
      <c r="F32" s="1"/>
      <c r="G32" t="s">
        <v>85</v>
      </c>
      <c r="H32" t="s">
        <v>41</v>
      </c>
      <c r="I32" t="s">
        <v>197</v>
      </c>
      <c r="J32" t="s">
        <v>43</v>
      </c>
      <c r="K32" t="s">
        <v>198</v>
      </c>
      <c r="L32" s="2" t="s">
        <v>199</v>
      </c>
      <c r="M32" s="2" t="s">
        <v>115</v>
      </c>
      <c r="N32" t="s">
        <v>189</v>
      </c>
      <c r="O32" t="s">
        <v>73</v>
      </c>
      <c r="P32" t="s">
        <v>148</v>
      </c>
      <c r="Q32" t="s">
        <v>50</v>
      </c>
      <c r="R32" t="s">
        <v>50</v>
      </c>
      <c r="S32" s="2">
        <v>8</v>
      </c>
      <c r="T32" t="s">
        <v>91</v>
      </c>
      <c r="U32" t="s">
        <v>121</v>
      </c>
      <c r="V32" t="s">
        <v>103</v>
      </c>
      <c r="W32" t="s">
        <v>116</v>
      </c>
      <c r="X32" t="s">
        <v>200</v>
      </c>
      <c r="Y32" t="s">
        <v>56</v>
      </c>
      <c r="Z32" t="s">
        <v>57</v>
      </c>
      <c r="AA32" t="s">
        <v>201</v>
      </c>
      <c r="AB32" s="2" t="s">
        <v>70</v>
      </c>
      <c r="AC32" t="s">
        <v>202</v>
      </c>
      <c r="AD32" t="s">
        <v>61</v>
      </c>
      <c r="AE32" t="s">
        <v>97</v>
      </c>
      <c r="AF32" t="s">
        <v>63</v>
      </c>
      <c r="AG32" t="s">
        <v>61</v>
      </c>
      <c r="AH32" t="s">
        <v>64</v>
      </c>
      <c r="AI32" t="s">
        <v>64</v>
      </c>
      <c r="AJ32" t="s">
        <v>65</v>
      </c>
      <c r="AK32" t="s">
        <v>66</v>
      </c>
      <c r="AL32" t="s">
        <v>65</v>
      </c>
      <c r="AM32" t="s">
        <v>193</v>
      </c>
    </row>
    <row r="33" spans="1:39">
      <c r="A33">
        <v>40</v>
      </c>
      <c r="B33" s="1">
        <v>46104.930370370399</v>
      </c>
      <c r="C33" s="1">
        <v>46104.933969907397</v>
      </c>
      <c r="D33" t="s">
        <v>39</v>
      </c>
      <c r="F33" s="1"/>
      <c r="G33" t="s">
        <v>85</v>
      </c>
      <c r="H33" t="s">
        <v>41</v>
      </c>
      <c r="I33" t="s">
        <v>203</v>
      </c>
      <c r="J33" t="s">
        <v>43</v>
      </c>
      <c r="K33" t="s">
        <v>69</v>
      </c>
      <c r="L33" s="2" t="s">
        <v>134</v>
      </c>
      <c r="M33" s="2" t="s">
        <v>46</v>
      </c>
      <c r="N33" t="s">
        <v>72</v>
      </c>
      <c r="O33" t="s">
        <v>73</v>
      </c>
      <c r="P33" t="s">
        <v>49</v>
      </c>
      <c r="Q33" t="s">
        <v>63</v>
      </c>
      <c r="R33" t="s">
        <v>53</v>
      </c>
      <c r="S33" s="2">
        <v>5</v>
      </c>
      <c r="T33" t="s">
        <v>74</v>
      </c>
      <c r="U33" t="s">
        <v>52</v>
      </c>
      <c r="V33" t="s">
        <v>93</v>
      </c>
      <c r="W33" t="s">
        <v>105</v>
      </c>
      <c r="X33" t="s">
        <v>204</v>
      </c>
      <c r="Y33" t="s">
        <v>56</v>
      </c>
      <c r="Z33" t="s">
        <v>78</v>
      </c>
      <c r="AA33" t="s">
        <v>79</v>
      </c>
      <c r="AB33" s="2" t="s">
        <v>205</v>
      </c>
      <c r="AC33" t="s">
        <v>60</v>
      </c>
      <c r="AD33" t="s">
        <v>61</v>
      </c>
      <c r="AE33" t="s">
        <v>165</v>
      </c>
      <c r="AF33" t="s">
        <v>63</v>
      </c>
      <c r="AG33" t="s">
        <v>83</v>
      </c>
      <c r="AH33" t="s">
        <v>66</v>
      </c>
      <c r="AI33" t="s">
        <v>64</v>
      </c>
      <c r="AJ33" t="s">
        <v>65</v>
      </c>
      <c r="AK33" t="s">
        <v>64</v>
      </c>
      <c r="AL33" t="s">
        <v>193</v>
      </c>
      <c r="AM33" t="s">
        <v>193</v>
      </c>
    </row>
    <row r="34" spans="1:39">
      <c r="A34">
        <v>41</v>
      </c>
      <c r="B34" s="1">
        <v>46104.999490740702</v>
      </c>
      <c r="C34" s="1">
        <v>46105.002708333297</v>
      </c>
      <c r="D34" t="s">
        <v>39</v>
      </c>
      <c r="F34" s="1"/>
      <c r="G34" t="s">
        <v>85</v>
      </c>
      <c r="H34" t="s">
        <v>41</v>
      </c>
      <c r="I34" t="s">
        <v>206</v>
      </c>
      <c r="J34" t="s">
        <v>43</v>
      </c>
      <c r="K34" t="s">
        <v>44</v>
      </c>
      <c r="L34" s="2" t="s">
        <v>120</v>
      </c>
      <c r="M34" s="2" t="s">
        <v>115</v>
      </c>
      <c r="N34" t="s">
        <v>72</v>
      </c>
      <c r="O34" t="s">
        <v>73</v>
      </c>
      <c r="P34" t="s">
        <v>49</v>
      </c>
      <c r="Q34" t="s">
        <v>50</v>
      </c>
      <c r="R34" t="s">
        <v>50</v>
      </c>
      <c r="S34" s="2">
        <v>2</v>
      </c>
      <c r="T34" t="s">
        <v>104</v>
      </c>
      <c r="U34" t="s">
        <v>92</v>
      </c>
      <c r="V34" t="s">
        <v>53</v>
      </c>
      <c r="W34" t="s">
        <v>105</v>
      </c>
      <c r="X34" t="s">
        <v>207</v>
      </c>
      <c r="Y34" t="s">
        <v>78</v>
      </c>
      <c r="Z34" t="s">
        <v>56</v>
      </c>
      <c r="AA34" t="s">
        <v>151</v>
      </c>
      <c r="AB34" s="2" t="s">
        <v>59</v>
      </c>
      <c r="AC34" t="s">
        <v>113</v>
      </c>
      <c r="AD34" t="s">
        <v>61</v>
      </c>
      <c r="AE34" t="s">
        <v>62</v>
      </c>
      <c r="AF34" t="s">
        <v>53</v>
      </c>
      <c r="AG34" t="s">
        <v>61</v>
      </c>
      <c r="AH34" t="s">
        <v>65</v>
      </c>
      <c r="AI34" t="s">
        <v>66</v>
      </c>
      <c r="AJ34" t="s">
        <v>66</v>
      </c>
      <c r="AK34" t="s">
        <v>64</v>
      </c>
      <c r="AL34" t="s">
        <v>64</v>
      </c>
      <c r="AM34" t="s">
        <v>65</v>
      </c>
    </row>
    <row r="35" spans="1:39">
      <c r="A35">
        <v>42</v>
      </c>
      <c r="B35" s="1">
        <v>46105.333981481497</v>
      </c>
      <c r="C35" s="1">
        <v>46105.336041666698</v>
      </c>
      <c r="D35" t="s">
        <v>39</v>
      </c>
      <c r="F35" s="1"/>
      <c r="G35" t="s">
        <v>85</v>
      </c>
      <c r="H35" t="s">
        <v>41</v>
      </c>
      <c r="I35" t="s">
        <v>208</v>
      </c>
      <c r="J35" t="s">
        <v>43</v>
      </c>
      <c r="K35" t="s">
        <v>69</v>
      </c>
      <c r="L35" s="2" t="s">
        <v>126</v>
      </c>
      <c r="M35" s="2" t="s">
        <v>46</v>
      </c>
      <c r="N35" t="s">
        <v>189</v>
      </c>
      <c r="O35" t="s">
        <v>73</v>
      </c>
      <c r="P35" t="s">
        <v>49</v>
      </c>
      <c r="Q35" t="s">
        <v>53</v>
      </c>
      <c r="R35" t="s">
        <v>103</v>
      </c>
      <c r="S35" s="2">
        <v>2</v>
      </c>
      <c r="T35" t="s">
        <v>51</v>
      </c>
      <c r="U35" t="s">
        <v>52</v>
      </c>
      <c r="V35" t="s">
        <v>103</v>
      </c>
      <c r="W35" t="s">
        <v>105</v>
      </c>
      <c r="X35" t="s">
        <v>209</v>
      </c>
      <c r="Y35" t="s">
        <v>56</v>
      </c>
      <c r="Z35" t="s">
        <v>56</v>
      </c>
      <c r="AA35" t="s">
        <v>95</v>
      </c>
      <c r="AB35" s="2" t="s">
        <v>70</v>
      </c>
      <c r="AC35" t="s">
        <v>113</v>
      </c>
      <c r="AD35" t="s">
        <v>82</v>
      </c>
      <c r="AE35" t="s">
        <v>173</v>
      </c>
      <c r="AF35" t="s">
        <v>53</v>
      </c>
      <c r="AG35" t="s">
        <v>83</v>
      </c>
      <c r="AH35" t="s">
        <v>84</v>
      </c>
      <c r="AI35" t="s">
        <v>64</v>
      </c>
      <c r="AJ35" t="s">
        <v>84</v>
      </c>
      <c r="AK35" t="s">
        <v>64</v>
      </c>
      <c r="AL35" t="s">
        <v>64</v>
      </c>
      <c r="AM35" t="s">
        <v>84</v>
      </c>
    </row>
    <row r="36" spans="1:39">
      <c r="A36">
        <v>43</v>
      </c>
      <c r="B36" s="1">
        <v>46105.377708333297</v>
      </c>
      <c r="C36" s="1">
        <v>46105.379768518498</v>
      </c>
      <c r="D36" t="s">
        <v>39</v>
      </c>
      <c r="F36" s="1"/>
      <c r="G36" t="s">
        <v>85</v>
      </c>
      <c r="H36" t="s">
        <v>41</v>
      </c>
      <c r="I36" t="s">
        <v>210</v>
      </c>
      <c r="J36" t="s">
        <v>68</v>
      </c>
      <c r="K36" t="s">
        <v>101</v>
      </c>
      <c r="L36" s="2" t="s">
        <v>211</v>
      </c>
      <c r="M36" s="2" t="s">
        <v>46</v>
      </c>
      <c r="N36" t="s">
        <v>110</v>
      </c>
      <c r="O36" t="s">
        <v>90</v>
      </c>
      <c r="P36" t="s">
        <v>49</v>
      </c>
      <c r="Q36" t="s">
        <v>93</v>
      </c>
      <c r="R36" t="s">
        <v>103</v>
      </c>
      <c r="S36" s="2">
        <v>3</v>
      </c>
      <c r="T36" t="s">
        <v>74</v>
      </c>
      <c r="U36" t="s">
        <v>121</v>
      </c>
      <c r="V36" t="s">
        <v>50</v>
      </c>
      <c r="W36" t="s">
        <v>76</v>
      </c>
      <c r="X36" t="s">
        <v>212</v>
      </c>
      <c r="Y36" t="s">
        <v>57</v>
      </c>
      <c r="Z36" t="s">
        <v>78</v>
      </c>
      <c r="AA36" t="s">
        <v>95</v>
      </c>
      <c r="AB36" s="2" t="s">
        <v>70</v>
      </c>
      <c r="AC36" t="s">
        <v>113</v>
      </c>
      <c r="AD36" t="s">
        <v>82</v>
      </c>
      <c r="AE36" t="s">
        <v>97</v>
      </c>
      <c r="AF36" t="s">
        <v>53</v>
      </c>
      <c r="AG36" t="s">
        <v>83</v>
      </c>
      <c r="AH36" t="s">
        <v>64</v>
      </c>
      <c r="AI36" t="s">
        <v>64</v>
      </c>
      <c r="AJ36" t="s">
        <v>65</v>
      </c>
      <c r="AK36" t="s">
        <v>64</v>
      </c>
      <c r="AL36" t="s">
        <v>64</v>
      </c>
      <c r="AM36" t="s">
        <v>65</v>
      </c>
    </row>
    <row r="37" spans="1:39">
      <c r="A37">
        <v>44</v>
      </c>
      <c r="B37" s="1">
        <v>46105.433854166702</v>
      </c>
      <c r="C37" s="1">
        <v>46105.436446759297</v>
      </c>
      <c r="D37" t="s">
        <v>39</v>
      </c>
      <c r="F37" s="1"/>
      <c r="G37" t="s">
        <v>85</v>
      </c>
      <c r="H37" t="s">
        <v>41</v>
      </c>
      <c r="I37" t="s">
        <v>213</v>
      </c>
      <c r="J37" t="s">
        <v>43</v>
      </c>
      <c r="K37" t="s">
        <v>101</v>
      </c>
      <c r="L37" s="2" t="s">
        <v>88</v>
      </c>
      <c r="M37" s="2" t="s">
        <v>71</v>
      </c>
      <c r="N37" t="s">
        <v>89</v>
      </c>
      <c r="O37" t="s">
        <v>73</v>
      </c>
      <c r="P37" t="s">
        <v>148</v>
      </c>
      <c r="Q37" t="s">
        <v>53</v>
      </c>
      <c r="R37" t="s">
        <v>53</v>
      </c>
      <c r="S37" s="2">
        <v>5</v>
      </c>
      <c r="T37" t="s">
        <v>91</v>
      </c>
      <c r="U37" t="s">
        <v>121</v>
      </c>
      <c r="V37" t="s">
        <v>63</v>
      </c>
      <c r="W37" t="s">
        <v>105</v>
      </c>
      <c r="X37" t="s">
        <v>214</v>
      </c>
      <c r="Y37" t="s">
        <v>78</v>
      </c>
      <c r="Z37" t="s">
        <v>56</v>
      </c>
      <c r="AA37" t="s">
        <v>58</v>
      </c>
      <c r="AB37" s="2" t="s">
        <v>80</v>
      </c>
      <c r="AC37" t="s">
        <v>113</v>
      </c>
      <c r="AD37" t="s">
        <v>128</v>
      </c>
      <c r="AE37" t="s">
        <v>165</v>
      </c>
      <c r="AF37" t="s">
        <v>53</v>
      </c>
      <c r="AG37" t="s">
        <v>128</v>
      </c>
      <c r="AH37" t="s">
        <v>84</v>
      </c>
      <c r="AI37" t="s">
        <v>84</v>
      </c>
      <c r="AJ37" t="s">
        <v>84</v>
      </c>
      <c r="AK37" t="s">
        <v>64</v>
      </c>
      <c r="AL37" t="s">
        <v>64</v>
      </c>
      <c r="AM37" t="s">
        <v>64</v>
      </c>
    </row>
    <row r="38" spans="1:39">
      <c r="A38">
        <v>45</v>
      </c>
      <c r="B38" s="1">
        <v>46105.4600347222</v>
      </c>
      <c r="C38" s="1">
        <v>46105.464201388902</v>
      </c>
      <c r="D38" t="s">
        <v>39</v>
      </c>
      <c r="F38" s="1"/>
      <c r="G38" t="s">
        <v>85</v>
      </c>
      <c r="H38" t="s">
        <v>41</v>
      </c>
      <c r="I38" t="s">
        <v>215</v>
      </c>
      <c r="J38" t="s">
        <v>43</v>
      </c>
      <c r="K38" t="s">
        <v>101</v>
      </c>
      <c r="L38" s="2" t="s">
        <v>59</v>
      </c>
      <c r="M38" s="2" t="s">
        <v>46</v>
      </c>
      <c r="N38" t="s">
        <v>110</v>
      </c>
      <c r="O38" t="s">
        <v>73</v>
      </c>
      <c r="P38" t="s">
        <v>167</v>
      </c>
      <c r="Q38" t="s">
        <v>103</v>
      </c>
      <c r="R38" t="s">
        <v>53</v>
      </c>
      <c r="S38" s="2">
        <v>7</v>
      </c>
      <c r="T38" t="s">
        <v>91</v>
      </c>
      <c r="U38" t="s">
        <v>75</v>
      </c>
      <c r="V38" t="s">
        <v>50</v>
      </c>
      <c r="W38" t="s">
        <v>54</v>
      </c>
      <c r="X38" t="s">
        <v>216</v>
      </c>
      <c r="Y38" t="s">
        <v>57</v>
      </c>
      <c r="Z38" t="s">
        <v>56</v>
      </c>
      <c r="AA38" t="s">
        <v>151</v>
      </c>
      <c r="AB38" s="2" t="s">
        <v>59</v>
      </c>
      <c r="AC38" t="s">
        <v>113</v>
      </c>
      <c r="AD38" t="s">
        <v>82</v>
      </c>
      <c r="AE38" t="s">
        <v>107</v>
      </c>
      <c r="AF38" t="s">
        <v>103</v>
      </c>
      <c r="AG38" t="s">
        <v>128</v>
      </c>
      <c r="AH38" t="s">
        <v>84</v>
      </c>
      <c r="AI38" t="s">
        <v>84</v>
      </c>
      <c r="AJ38" t="s">
        <v>65</v>
      </c>
      <c r="AK38" t="s">
        <v>64</v>
      </c>
      <c r="AL38" t="s">
        <v>84</v>
      </c>
      <c r="AM38" t="s">
        <v>66</v>
      </c>
    </row>
    <row r="39" spans="1:39">
      <c r="A39">
        <v>46</v>
      </c>
      <c r="B39" s="1">
        <v>46105.460277777798</v>
      </c>
      <c r="C39" s="1">
        <v>46105.465416666702</v>
      </c>
      <c r="D39" t="s">
        <v>39</v>
      </c>
      <c r="F39" s="1"/>
      <c r="G39" t="s">
        <v>85</v>
      </c>
      <c r="H39" t="s">
        <v>41</v>
      </c>
      <c r="I39" t="s">
        <v>217</v>
      </c>
      <c r="J39" t="s">
        <v>43</v>
      </c>
      <c r="K39" t="s">
        <v>69</v>
      </c>
      <c r="L39" s="2" t="s">
        <v>218</v>
      </c>
      <c r="M39" s="2" t="s">
        <v>115</v>
      </c>
      <c r="N39" t="s">
        <v>110</v>
      </c>
      <c r="O39" t="s">
        <v>48</v>
      </c>
      <c r="P39" t="s">
        <v>148</v>
      </c>
      <c r="Q39" t="s">
        <v>53</v>
      </c>
      <c r="R39" t="s">
        <v>53</v>
      </c>
      <c r="S39" s="2">
        <v>5</v>
      </c>
      <c r="T39" t="s">
        <v>51</v>
      </c>
      <c r="U39" t="s">
        <v>121</v>
      </c>
      <c r="V39" t="s">
        <v>53</v>
      </c>
      <c r="W39" t="s">
        <v>122</v>
      </c>
      <c r="X39" t="s">
        <v>219</v>
      </c>
      <c r="Y39" t="s">
        <v>56</v>
      </c>
      <c r="Z39" t="s">
        <v>56</v>
      </c>
      <c r="AA39" t="s">
        <v>58</v>
      </c>
      <c r="AB39" s="2" t="s">
        <v>70</v>
      </c>
      <c r="AC39" t="s">
        <v>81</v>
      </c>
      <c r="AD39" t="s">
        <v>178</v>
      </c>
      <c r="AE39" t="s">
        <v>62</v>
      </c>
      <c r="AF39" t="s">
        <v>50</v>
      </c>
      <c r="AG39" t="s">
        <v>178</v>
      </c>
      <c r="AH39" t="s">
        <v>64</v>
      </c>
      <c r="AI39" t="s">
        <v>65</v>
      </c>
      <c r="AJ39" t="s">
        <v>65</v>
      </c>
      <c r="AK39" t="s">
        <v>64</v>
      </c>
      <c r="AL39" t="s">
        <v>64</v>
      </c>
      <c r="AM39" t="s">
        <v>64</v>
      </c>
    </row>
    <row r="40" spans="1:39">
      <c r="A40">
        <v>47</v>
      </c>
      <c r="B40" s="1">
        <v>46105.4867592593</v>
      </c>
      <c r="C40" s="1">
        <v>46105.4890856481</v>
      </c>
      <c r="D40" t="s">
        <v>39</v>
      </c>
      <c r="F40" s="1"/>
      <c r="G40" t="s">
        <v>85</v>
      </c>
      <c r="H40" t="s">
        <v>41</v>
      </c>
      <c r="I40" t="s">
        <v>220</v>
      </c>
      <c r="J40" t="s">
        <v>68</v>
      </c>
      <c r="K40" t="s">
        <v>101</v>
      </c>
      <c r="L40" s="2" t="s">
        <v>45</v>
      </c>
      <c r="M40" s="2" t="s">
        <v>186</v>
      </c>
      <c r="N40" t="s">
        <v>110</v>
      </c>
      <c r="O40" t="s">
        <v>73</v>
      </c>
      <c r="P40" t="s">
        <v>49</v>
      </c>
      <c r="Q40" t="s">
        <v>50</v>
      </c>
      <c r="R40" t="s">
        <v>53</v>
      </c>
      <c r="S40" s="2">
        <v>3</v>
      </c>
      <c r="T40" t="s">
        <v>91</v>
      </c>
      <c r="U40" t="s">
        <v>75</v>
      </c>
      <c r="V40" t="s">
        <v>53</v>
      </c>
      <c r="W40" t="s">
        <v>105</v>
      </c>
      <c r="X40" t="s">
        <v>221</v>
      </c>
      <c r="Y40" t="s">
        <v>78</v>
      </c>
      <c r="Z40" t="s">
        <v>78</v>
      </c>
      <c r="AA40" t="s">
        <v>95</v>
      </c>
      <c r="AB40" s="2" t="s">
        <v>80</v>
      </c>
      <c r="AC40" t="s">
        <v>113</v>
      </c>
      <c r="AD40" t="s">
        <v>61</v>
      </c>
      <c r="AE40" t="s">
        <v>97</v>
      </c>
      <c r="AF40" t="s">
        <v>63</v>
      </c>
      <c r="AG40" t="s">
        <v>61</v>
      </c>
      <c r="AH40" t="s">
        <v>66</v>
      </c>
      <c r="AI40" t="s">
        <v>65</v>
      </c>
      <c r="AJ40" t="s">
        <v>65</v>
      </c>
      <c r="AK40" t="s">
        <v>66</v>
      </c>
      <c r="AL40" t="s">
        <v>193</v>
      </c>
      <c r="AM40" t="s">
        <v>66</v>
      </c>
    </row>
    <row r="41" spans="1:39">
      <c r="A41">
        <v>48</v>
      </c>
      <c r="B41" s="1">
        <v>46105.471342592602</v>
      </c>
      <c r="C41" s="1">
        <v>46105.523402777799</v>
      </c>
      <c r="D41" t="s">
        <v>39</v>
      </c>
      <c r="F41" s="1"/>
      <c r="G41" t="s">
        <v>85</v>
      </c>
      <c r="H41" t="s">
        <v>41</v>
      </c>
      <c r="I41" t="s">
        <v>222</v>
      </c>
      <c r="J41" t="s">
        <v>68</v>
      </c>
      <c r="K41" t="s">
        <v>101</v>
      </c>
      <c r="L41" s="2" t="s">
        <v>159</v>
      </c>
      <c r="M41" s="2" t="s">
        <v>46</v>
      </c>
      <c r="N41" t="s">
        <v>72</v>
      </c>
      <c r="O41" t="s">
        <v>73</v>
      </c>
      <c r="P41" t="s">
        <v>49</v>
      </c>
      <c r="Q41" t="s">
        <v>50</v>
      </c>
      <c r="R41" t="s">
        <v>53</v>
      </c>
      <c r="S41" s="2">
        <v>5</v>
      </c>
      <c r="T41" t="s">
        <v>91</v>
      </c>
      <c r="U41" t="s">
        <v>52</v>
      </c>
      <c r="V41" t="s">
        <v>103</v>
      </c>
      <c r="W41" t="s">
        <v>105</v>
      </c>
      <c r="X41" t="s">
        <v>111</v>
      </c>
      <c r="Y41" t="s">
        <v>78</v>
      </c>
      <c r="Z41" t="s">
        <v>56</v>
      </c>
      <c r="AA41" t="s">
        <v>95</v>
      </c>
      <c r="AB41" s="2" t="s">
        <v>80</v>
      </c>
      <c r="AC41" t="s">
        <v>113</v>
      </c>
      <c r="AD41" t="s">
        <v>82</v>
      </c>
      <c r="AE41" t="s">
        <v>97</v>
      </c>
      <c r="AF41" t="s">
        <v>53</v>
      </c>
      <c r="AG41" t="s">
        <v>83</v>
      </c>
      <c r="AH41" t="s">
        <v>84</v>
      </c>
      <c r="AI41" t="s">
        <v>84</v>
      </c>
      <c r="AJ41" t="s">
        <v>64</v>
      </c>
      <c r="AK41" t="s">
        <v>65</v>
      </c>
      <c r="AL41" t="s">
        <v>65</v>
      </c>
      <c r="AM41" t="s">
        <v>64</v>
      </c>
    </row>
    <row r="42" spans="1:39">
      <c r="A42">
        <v>49</v>
      </c>
      <c r="B42" s="1">
        <v>46105.522800925901</v>
      </c>
      <c r="C42" s="1">
        <v>46105.5246527778</v>
      </c>
      <c r="D42" t="s">
        <v>39</v>
      </c>
      <c r="F42" s="1"/>
      <c r="G42" t="s">
        <v>124</v>
      </c>
      <c r="H42" t="s">
        <v>41</v>
      </c>
      <c r="I42" t="s">
        <v>223</v>
      </c>
      <c r="J42" t="s">
        <v>68</v>
      </c>
      <c r="K42" t="s">
        <v>101</v>
      </c>
      <c r="L42" s="2" t="s">
        <v>224</v>
      </c>
      <c r="M42" s="2" t="s">
        <v>46</v>
      </c>
      <c r="N42" t="s">
        <v>72</v>
      </c>
      <c r="O42" t="s">
        <v>135</v>
      </c>
      <c r="P42" t="s">
        <v>148</v>
      </c>
      <c r="Q42" t="s">
        <v>53</v>
      </c>
      <c r="R42" t="s">
        <v>50</v>
      </c>
      <c r="S42" s="2">
        <v>2</v>
      </c>
      <c r="T42" t="s">
        <v>74</v>
      </c>
      <c r="U42" t="s">
        <v>52</v>
      </c>
      <c r="V42" t="s">
        <v>50</v>
      </c>
      <c r="W42" t="s">
        <v>116</v>
      </c>
      <c r="X42" t="s">
        <v>225</v>
      </c>
      <c r="Y42" t="s">
        <v>56</v>
      </c>
      <c r="Z42" t="s">
        <v>78</v>
      </c>
      <c r="AA42" t="s">
        <v>79</v>
      </c>
      <c r="AB42" s="2" t="s">
        <v>70</v>
      </c>
      <c r="AC42" t="s">
        <v>113</v>
      </c>
      <c r="AD42" t="s">
        <v>82</v>
      </c>
      <c r="AE42" t="s">
        <v>62</v>
      </c>
      <c r="AF42" t="s">
        <v>53</v>
      </c>
      <c r="AG42" t="s">
        <v>83</v>
      </c>
      <c r="AH42" t="s">
        <v>84</v>
      </c>
      <c r="AI42" t="s">
        <v>84</v>
      </c>
      <c r="AJ42" t="s">
        <v>84</v>
      </c>
      <c r="AK42" t="s">
        <v>64</v>
      </c>
      <c r="AL42" t="s">
        <v>65</v>
      </c>
      <c r="AM42" t="s">
        <v>64</v>
      </c>
    </row>
    <row r="43" spans="1:39">
      <c r="A43">
        <v>50</v>
      </c>
      <c r="B43" s="1">
        <v>46105.522916666698</v>
      </c>
      <c r="C43" s="1">
        <v>46105.524791666699</v>
      </c>
      <c r="D43" t="s">
        <v>39</v>
      </c>
      <c r="F43" s="1"/>
      <c r="G43" t="s">
        <v>85</v>
      </c>
      <c r="H43" t="s">
        <v>41</v>
      </c>
      <c r="I43" t="s">
        <v>226</v>
      </c>
      <c r="J43" t="s">
        <v>68</v>
      </c>
      <c r="K43" t="s">
        <v>101</v>
      </c>
      <c r="L43" s="2" t="s">
        <v>175</v>
      </c>
      <c r="M43" s="2" t="s">
        <v>115</v>
      </c>
      <c r="N43" t="s">
        <v>47</v>
      </c>
      <c r="O43" t="s">
        <v>73</v>
      </c>
      <c r="P43" t="s">
        <v>49</v>
      </c>
      <c r="Q43" t="s">
        <v>63</v>
      </c>
      <c r="R43" t="s">
        <v>53</v>
      </c>
      <c r="S43" s="2">
        <v>1</v>
      </c>
      <c r="T43" t="s">
        <v>91</v>
      </c>
      <c r="U43" t="s">
        <v>75</v>
      </c>
      <c r="V43" t="s">
        <v>103</v>
      </c>
      <c r="W43" t="s">
        <v>116</v>
      </c>
      <c r="X43" t="s">
        <v>227</v>
      </c>
      <c r="Y43" t="s">
        <v>78</v>
      </c>
      <c r="Z43" t="s">
        <v>78</v>
      </c>
      <c r="AA43" t="s">
        <v>95</v>
      </c>
      <c r="AB43" s="2" t="s">
        <v>59</v>
      </c>
      <c r="AC43" t="s">
        <v>60</v>
      </c>
      <c r="AD43" t="s">
        <v>128</v>
      </c>
      <c r="AE43" t="s">
        <v>165</v>
      </c>
      <c r="AF43" t="s">
        <v>53</v>
      </c>
      <c r="AG43" t="s">
        <v>83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  <c r="AM43" t="s">
        <v>84</v>
      </c>
    </row>
    <row r="44" spans="1:39">
      <c r="A44">
        <v>51</v>
      </c>
      <c r="B44" s="1">
        <v>46105.522962962998</v>
      </c>
      <c r="C44" s="1">
        <v>46105.5249189815</v>
      </c>
      <c r="D44" t="s">
        <v>39</v>
      </c>
      <c r="F44" s="1"/>
      <c r="G44" t="s">
        <v>85</v>
      </c>
      <c r="H44" t="s">
        <v>41</v>
      </c>
      <c r="I44" t="s">
        <v>125</v>
      </c>
      <c r="J44" t="s">
        <v>68</v>
      </c>
      <c r="K44" t="s">
        <v>101</v>
      </c>
      <c r="L44" s="2" t="s">
        <v>228</v>
      </c>
      <c r="M44" s="2" t="s">
        <v>46</v>
      </c>
      <c r="N44" t="s">
        <v>110</v>
      </c>
      <c r="O44" t="s">
        <v>73</v>
      </c>
      <c r="P44" t="s">
        <v>49</v>
      </c>
      <c r="Q44" t="s">
        <v>103</v>
      </c>
      <c r="R44" t="s">
        <v>50</v>
      </c>
      <c r="S44" s="2">
        <v>5</v>
      </c>
      <c r="T44" t="s">
        <v>74</v>
      </c>
      <c r="U44" t="s">
        <v>92</v>
      </c>
      <c r="V44" t="s">
        <v>53</v>
      </c>
      <c r="W44" t="s">
        <v>54</v>
      </c>
      <c r="X44" t="s">
        <v>183</v>
      </c>
      <c r="Y44" t="s">
        <v>57</v>
      </c>
      <c r="Z44" t="s">
        <v>56</v>
      </c>
      <c r="AA44" t="s">
        <v>229</v>
      </c>
      <c r="AB44" s="2" t="s">
        <v>59</v>
      </c>
      <c r="AC44" t="s">
        <v>60</v>
      </c>
      <c r="AD44" t="s">
        <v>82</v>
      </c>
      <c r="AE44" t="s">
        <v>62</v>
      </c>
      <c r="AF44" t="s">
        <v>63</v>
      </c>
      <c r="AG44" t="s">
        <v>61</v>
      </c>
      <c r="AH44" t="s">
        <v>84</v>
      </c>
      <c r="AI44" t="s">
        <v>64</v>
      </c>
      <c r="AJ44" t="s">
        <v>64</v>
      </c>
      <c r="AK44" t="s">
        <v>84</v>
      </c>
      <c r="AL44" t="s">
        <v>84</v>
      </c>
      <c r="AM44" t="s">
        <v>64</v>
      </c>
    </row>
    <row r="45" spans="1:39">
      <c r="A45">
        <v>52</v>
      </c>
      <c r="B45" s="1">
        <v>46105.523055555597</v>
      </c>
      <c r="C45" s="1">
        <v>46105.529224537</v>
      </c>
      <c r="D45" t="s">
        <v>39</v>
      </c>
      <c r="F45" s="1"/>
      <c r="G45" t="s">
        <v>85</v>
      </c>
      <c r="H45" t="s">
        <v>41</v>
      </c>
      <c r="I45" t="s">
        <v>230</v>
      </c>
      <c r="J45" t="s">
        <v>43</v>
      </c>
      <c r="K45" t="s">
        <v>101</v>
      </c>
      <c r="L45" s="2" t="s">
        <v>130</v>
      </c>
      <c r="M45" s="2" t="s">
        <v>186</v>
      </c>
      <c r="N45" t="s">
        <v>110</v>
      </c>
      <c r="O45" t="s">
        <v>73</v>
      </c>
      <c r="P45" t="s">
        <v>49</v>
      </c>
      <c r="Q45" t="s">
        <v>93</v>
      </c>
      <c r="R45" t="s">
        <v>53</v>
      </c>
      <c r="S45" s="2">
        <v>3</v>
      </c>
      <c r="T45" t="s">
        <v>91</v>
      </c>
      <c r="U45" t="s">
        <v>92</v>
      </c>
      <c r="V45" t="s">
        <v>50</v>
      </c>
      <c r="W45" t="s">
        <v>122</v>
      </c>
      <c r="X45" t="s">
        <v>196</v>
      </c>
      <c r="Y45" t="s">
        <v>56</v>
      </c>
      <c r="Z45" t="s">
        <v>57</v>
      </c>
      <c r="AA45" t="s">
        <v>231</v>
      </c>
      <c r="AB45" s="2" t="s">
        <v>80</v>
      </c>
      <c r="AC45" t="s">
        <v>113</v>
      </c>
      <c r="AD45" t="s">
        <v>128</v>
      </c>
      <c r="AE45" t="s">
        <v>62</v>
      </c>
      <c r="AF45" t="s">
        <v>50</v>
      </c>
      <c r="AG45" t="s">
        <v>128</v>
      </c>
      <c r="AH45" t="s">
        <v>64</v>
      </c>
      <c r="AI45" t="s">
        <v>84</v>
      </c>
      <c r="AJ45" t="s">
        <v>64</v>
      </c>
      <c r="AK45" t="s">
        <v>64</v>
      </c>
      <c r="AL45" t="s">
        <v>64</v>
      </c>
      <c r="AM45" t="s">
        <v>64</v>
      </c>
    </row>
    <row r="46" spans="1:39">
      <c r="A46">
        <v>53</v>
      </c>
      <c r="B46" s="1">
        <v>46105.527256944399</v>
      </c>
      <c r="C46" s="1">
        <v>46105.529444444401</v>
      </c>
      <c r="D46" t="s">
        <v>39</v>
      </c>
      <c r="F46" s="1"/>
      <c r="G46" t="s">
        <v>85</v>
      </c>
      <c r="H46" t="s">
        <v>41</v>
      </c>
      <c r="I46" t="s">
        <v>232</v>
      </c>
      <c r="J46" t="s">
        <v>43</v>
      </c>
      <c r="K46" t="s">
        <v>101</v>
      </c>
      <c r="L46" s="2" t="s">
        <v>120</v>
      </c>
      <c r="M46" s="2" t="s">
        <v>71</v>
      </c>
      <c r="N46" t="s">
        <v>110</v>
      </c>
      <c r="O46" t="s">
        <v>73</v>
      </c>
      <c r="P46" t="s">
        <v>49</v>
      </c>
      <c r="Q46" t="s">
        <v>50</v>
      </c>
      <c r="R46" t="s">
        <v>63</v>
      </c>
      <c r="S46" s="2">
        <v>3</v>
      </c>
      <c r="T46" t="s">
        <v>104</v>
      </c>
      <c r="U46" t="s">
        <v>121</v>
      </c>
      <c r="V46" t="s">
        <v>103</v>
      </c>
      <c r="W46" t="s">
        <v>105</v>
      </c>
      <c r="X46" t="s">
        <v>233</v>
      </c>
      <c r="Y46" t="s">
        <v>57</v>
      </c>
      <c r="Z46" t="s">
        <v>78</v>
      </c>
      <c r="AA46" t="s">
        <v>95</v>
      </c>
      <c r="AB46" s="2" t="s">
        <v>70</v>
      </c>
      <c r="AC46" t="s">
        <v>113</v>
      </c>
      <c r="AD46" t="s">
        <v>61</v>
      </c>
      <c r="AE46" t="s">
        <v>97</v>
      </c>
      <c r="AF46" t="s">
        <v>50</v>
      </c>
      <c r="AG46" t="s">
        <v>83</v>
      </c>
      <c r="AH46" t="s">
        <v>64</v>
      </c>
      <c r="AI46" t="s">
        <v>64</v>
      </c>
      <c r="AJ46" t="s">
        <v>64</v>
      </c>
      <c r="AK46" t="s">
        <v>65</v>
      </c>
      <c r="AL46" t="s">
        <v>84</v>
      </c>
      <c r="AM46" t="s">
        <v>66</v>
      </c>
    </row>
    <row r="47" spans="1:39">
      <c r="A47">
        <v>54</v>
      </c>
      <c r="B47" s="1">
        <v>46105.534421296303</v>
      </c>
      <c r="C47" s="1">
        <v>46105.536493055602</v>
      </c>
      <c r="D47" t="s">
        <v>39</v>
      </c>
      <c r="F47" s="1"/>
      <c r="G47" t="s">
        <v>85</v>
      </c>
      <c r="H47" t="s">
        <v>41</v>
      </c>
      <c r="I47" t="s">
        <v>210</v>
      </c>
      <c r="J47" t="s">
        <v>68</v>
      </c>
      <c r="K47" t="s">
        <v>101</v>
      </c>
      <c r="L47" s="2" t="s">
        <v>120</v>
      </c>
      <c r="M47" s="2" t="s">
        <v>71</v>
      </c>
      <c r="N47" t="s">
        <v>110</v>
      </c>
      <c r="O47" t="s">
        <v>73</v>
      </c>
      <c r="P47" t="s">
        <v>49</v>
      </c>
      <c r="Q47" t="s">
        <v>53</v>
      </c>
      <c r="R47" t="s">
        <v>50</v>
      </c>
      <c r="S47" s="2">
        <v>7</v>
      </c>
      <c r="T47" t="s">
        <v>74</v>
      </c>
      <c r="U47" t="s">
        <v>92</v>
      </c>
      <c r="V47" t="s">
        <v>103</v>
      </c>
      <c r="W47" t="s">
        <v>105</v>
      </c>
      <c r="X47" t="s">
        <v>234</v>
      </c>
      <c r="Y47" t="s">
        <v>56</v>
      </c>
      <c r="Z47" t="s">
        <v>56</v>
      </c>
      <c r="AA47" t="s">
        <v>95</v>
      </c>
      <c r="AB47" s="2" t="s">
        <v>80</v>
      </c>
      <c r="AC47" t="s">
        <v>113</v>
      </c>
      <c r="AD47" t="s">
        <v>82</v>
      </c>
      <c r="AE47" t="s">
        <v>62</v>
      </c>
      <c r="AF47" t="s">
        <v>50</v>
      </c>
      <c r="AG47" t="s">
        <v>83</v>
      </c>
      <c r="AH47" t="s">
        <v>64</v>
      </c>
      <c r="AI47" t="s">
        <v>64</v>
      </c>
      <c r="AJ47" t="s">
        <v>64</v>
      </c>
      <c r="AK47" t="s">
        <v>65</v>
      </c>
      <c r="AL47" t="s">
        <v>64</v>
      </c>
      <c r="AM47" t="s">
        <v>65</v>
      </c>
    </row>
    <row r="48" spans="1:39">
      <c r="A48">
        <v>55</v>
      </c>
      <c r="B48" s="1">
        <v>46105.539432870399</v>
      </c>
      <c r="C48" s="1">
        <v>46105.541296296302</v>
      </c>
      <c r="D48" t="s">
        <v>39</v>
      </c>
      <c r="F48" s="1"/>
      <c r="G48" t="s">
        <v>85</v>
      </c>
      <c r="H48" t="s">
        <v>41</v>
      </c>
      <c r="I48" t="s">
        <v>230</v>
      </c>
      <c r="J48" t="s">
        <v>68</v>
      </c>
      <c r="K48" t="s">
        <v>44</v>
      </c>
      <c r="L48" s="2" t="s">
        <v>235</v>
      </c>
      <c r="M48" s="2" t="s">
        <v>46</v>
      </c>
      <c r="N48" t="s">
        <v>47</v>
      </c>
      <c r="O48" t="s">
        <v>73</v>
      </c>
      <c r="P48" t="s">
        <v>49</v>
      </c>
      <c r="Q48" t="s">
        <v>93</v>
      </c>
      <c r="R48" t="s">
        <v>50</v>
      </c>
      <c r="S48" s="2">
        <v>3</v>
      </c>
      <c r="T48" t="s">
        <v>91</v>
      </c>
      <c r="U48" t="s">
        <v>121</v>
      </c>
      <c r="V48" t="s">
        <v>103</v>
      </c>
      <c r="W48" t="s">
        <v>122</v>
      </c>
      <c r="X48" t="s">
        <v>236</v>
      </c>
      <c r="Y48" t="s">
        <v>56</v>
      </c>
      <c r="Z48" t="s">
        <v>57</v>
      </c>
      <c r="AA48" t="s">
        <v>151</v>
      </c>
      <c r="AB48" s="2" t="s">
        <v>80</v>
      </c>
      <c r="AC48" t="s">
        <v>113</v>
      </c>
      <c r="AD48" t="s">
        <v>82</v>
      </c>
      <c r="AE48" t="s">
        <v>237</v>
      </c>
      <c r="AF48" t="s">
        <v>50</v>
      </c>
      <c r="AG48" t="s">
        <v>83</v>
      </c>
      <c r="AH48" t="s">
        <v>64</v>
      </c>
      <c r="AI48" t="s">
        <v>64</v>
      </c>
      <c r="AJ48" t="s">
        <v>65</v>
      </c>
      <c r="AK48" t="s">
        <v>64</v>
      </c>
      <c r="AL48" t="s">
        <v>84</v>
      </c>
      <c r="AM48" t="s">
        <v>66</v>
      </c>
    </row>
    <row r="49" spans="1:39">
      <c r="A49">
        <v>56</v>
      </c>
      <c r="B49" s="1">
        <v>46105.537916666697</v>
      </c>
      <c r="C49" s="1">
        <v>46105.542939814797</v>
      </c>
      <c r="D49" t="s">
        <v>39</v>
      </c>
      <c r="F49" s="1"/>
      <c r="G49" t="s">
        <v>85</v>
      </c>
      <c r="H49" t="s">
        <v>41</v>
      </c>
      <c r="I49" t="s">
        <v>238</v>
      </c>
      <c r="J49" t="s">
        <v>68</v>
      </c>
      <c r="K49" t="s">
        <v>239</v>
      </c>
      <c r="L49" s="2" t="s">
        <v>218</v>
      </c>
      <c r="M49" s="2" t="s">
        <v>46</v>
      </c>
      <c r="N49" t="s">
        <v>72</v>
      </c>
      <c r="O49" t="s">
        <v>73</v>
      </c>
      <c r="P49" t="s">
        <v>167</v>
      </c>
      <c r="Q49" t="s">
        <v>53</v>
      </c>
      <c r="R49" t="s">
        <v>53</v>
      </c>
      <c r="S49" s="2">
        <v>5</v>
      </c>
      <c r="T49" t="s">
        <v>74</v>
      </c>
      <c r="U49" t="s">
        <v>52</v>
      </c>
      <c r="V49" t="s">
        <v>53</v>
      </c>
      <c r="W49" t="s">
        <v>54</v>
      </c>
      <c r="X49" t="s">
        <v>240</v>
      </c>
      <c r="Y49" t="s">
        <v>56</v>
      </c>
      <c r="Z49" t="s">
        <v>56</v>
      </c>
      <c r="AA49" t="s">
        <v>151</v>
      </c>
      <c r="AB49" s="2" t="s">
        <v>80</v>
      </c>
      <c r="AC49" t="s">
        <v>113</v>
      </c>
      <c r="AD49" t="s">
        <v>82</v>
      </c>
      <c r="AE49" t="s">
        <v>97</v>
      </c>
      <c r="AF49" t="s">
        <v>63</v>
      </c>
      <c r="AG49" t="s">
        <v>61</v>
      </c>
      <c r="AH49" t="s">
        <v>65</v>
      </c>
      <c r="AI49" t="s">
        <v>64</v>
      </c>
      <c r="AJ49" t="s">
        <v>64</v>
      </c>
      <c r="AK49" t="s">
        <v>64</v>
      </c>
      <c r="AL49" t="s">
        <v>65</v>
      </c>
      <c r="AM49" t="s">
        <v>66</v>
      </c>
    </row>
    <row r="50" spans="1:39">
      <c r="A50">
        <v>57</v>
      </c>
      <c r="B50" s="1">
        <v>46105.557569444398</v>
      </c>
      <c r="C50" s="1">
        <v>46105.559537036999</v>
      </c>
      <c r="D50" t="s">
        <v>39</v>
      </c>
      <c r="F50" s="1"/>
      <c r="G50" t="s">
        <v>85</v>
      </c>
      <c r="H50" t="s">
        <v>41</v>
      </c>
      <c r="I50" t="s">
        <v>241</v>
      </c>
      <c r="J50" t="s">
        <v>43</v>
      </c>
      <c r="K50" t="s">
        <v>101</v>
      </c>
      <c r="L50" s="2" t="s">
        <v>242</v>
      </c>
      <c r="M50" s="2" t="s">
        <v>46</v>
      </c>
      <c r="N50" t="s">
        <v>47</v>
      </c>
      <c r="O50" t="s">
        <v>243</v>
      </c>
      <c r="P50" t="s">
        <v>49</v>
      </c>
      <c r="Q50" t="s">
        <v>103</v>
      </c>
      <c r="R50" t="s">
        <v>53</v>
      </c>
      <c r="S50" s="2">
        <v>5</v>
      </c>
      <c r="T50" t="s">
        <v>74</v>
      </c>
      <c r="U50" t="s">
        <v>92</v>
      </c>
      <c r="V50" t="s">
        <v>63</v>
      </c>
      <c r="W50" t="s">
        <v>105</v>
      </c>
      <c r="X50" t="s">
        <v>244</v>
      </c>
      <c r="Y50" t="s">
        <v>56</v>
      </c>
      <c r="Z50" t="s">
        <v>56</v>
      </c>
      <c r="AA50" t="s">
        <v>151</v>
      </c>
      <c r="AB50" s="2" t="s">
        <v>80</v>
      </c>
      <c r="AC50" t="s">
        <v>96</v>
      </c>
      <c r="AD50" t="s">
        <v>61</v>
      </c>
      <c r="AE50" t="s">
        <v>62</v>
      </c>
      <c r="AF50" t="s">
        <v>63</v>
      </c>
      <c r="AG50" t="s">
        <v>61</v>
      </c>
      <c r="AH50" t="s">
        <v>84</v>
      </c>
      <c r="AI50" t="s">
        <v>84</v>
      </c>
      <c r="AJ50" t="s">
        <v>64</v>
      </c>
      <c r="AK50" t="s">
        <v>66</v>
      </c>
      <c r="AL50" t="s">
        <v>84</v>
      </c>
      <c r="AM50" t="s">
        <v>66</v>
      </c>
    </row>
    <row r="51" spans="1:39">
      <c r="A51">
        <v>58</v>
      </c>
      <c r="B51" s="1">
        <v>46105.579016203701</v>
      </c>
      <c r="C51" s="1">
        <v>46105.580914351798</v>
      </c>
      <c r="D51" t="s">
        <v>39</v>
      </c>
      <c r="F51" s="1"/>
      <c r="G51" t="s">
        <v>85</v>
      </c>
      <c r="H51" t="s">
        <v>41</v>
      </c>
      <c r="I51" t="s">
        <v>245</v>
      </c>
      <c r="J51" t="s">
        <v>43</v>
      </c>
      <c r="K51" t="s">
        <v>101</v>
      </c>
      <c r="L51" s="2" t="s">
        <v>228</v>
      </c>
      <c r="M51" s="2" t="s">
        <v>186</v>
      </c>
      <c r="N51" t="s">
        <v>110</v>
      </c>
      <c r="O51" t="s">
        <v>73</v>
      </c>
      <c r="P51" t="s">
        <v>49</v>
      </c>
      <c r="Q51" t="s">
        <v>50</v>
      </c>
      <c r="R51" t="s">
        <v>53</v>
      </c>
      <c r="S51" s="2">
        <v>7</v>
      </c>
      <c r="T51" t="s">
        <v>74</v>
      </c>
      <c r="U51" t="s">
        <v>92</v>
      </c>
      <c r="V51" t="s">
        <v>53</v>
      </c>
      <c r="W51" t="s">
        <v>105</v>
      </c>
      <c r="X51" t="s">
        <v>76</v>
      </c>
      <c r="Y51" t="s">
        <v>78</v>
      </c>
      <c r="Z51" t="s">
        <v>56</v>
      </c>
      <c r="AA51" t="s">
        <v>112</v>
      </c>
      <c r="AB51" s="2" t="s">
        <v>80</v>
      </c>
      <c r="AC51" t="s">
        <v>113</v>
      </c>
      <c r="AD51" t="s">
        <v>82</v>
      </c>
      <c r="AE51" t="s">
        <v>62</v>
      </c>
      <c r="AF51" t="s">
        <v>53</v>
      </c>
      <c r="AG51" t="s">
        <v>83</v>
      </c>
      <c r="AH51" t="s">
        <v>64</v>
      </c>
      <c r="AI51" t="s">
        <v>64</v>
      </c>
      <c r="AJ51" t="s">
        <v>64</v>
      </c>
      <c r="AK51" t="s">
        <v>64</v>
      </c>
      <c r="AL51" t="s">
        <v>65</v>
      </c>
      <c r="AM51" t="s">
        <v>65</v>
      </c>
    </row>
    <row r="52" spans="1:39">
      <c r="A52">
        <v>59</v>
      </c>
      <c r="B52" s="1">
        <v>46105.585590277798</v>
      </c>
      <c r="C52" s="1">
        <v>46105.587766203702</v>
      </c>
      <c r="D52" t="s">
        <v>39</v>
      </c>
      <c r="F52" s="1"/>
      <c r="G52" t="s">
        <v>85</v>
      </c>
      <c r="H52" t="s">
        <v>41</v>
      </c>
      <c r="I52" t="s">
        <v>246</v>
      </c>
      <c r="J52" t="s">
        <v>68</v>
      </c>
      <c r="K52" t="s">
        <v>198</v>
      </c>
      <c r="L52" s="2" t="s">
        <v>59</v>
      </c>
      <c r="M52" s="2" t="s">
        <v>115</v>
      </c>
      <c r="N52" t="s">
        <v>72</v>
      </c>
      <c r="O52" t="s">
        <v>90</v>
      </c>
      <c r="P52" t="s">
        <v>49</v>
      </c>
      <c r="Q52" t="s">
        <v>50</v>
      </c>
      <c r="R52" t="s">
        <v>53</v>
      </c>
      <c r="S52" s="2">
        <v>10</v>
      </c>
      <c r="T52" t="s">
        <v>91</v>
      </c>
      <c r="U52" t="s">
        <v>52</v>
      </c>
      <c r="V52" t="s">
        <v>93</v>
      </c>
      <c r="W52" t="s">
        <v>122</v>
      </c>
      <c r="X52" t="s">
        <v>196</v>
      </c>
      <c r="Y52" t="s">
        <v>56</v>
      </c>
      <c r="Z52" t="s">
        <v>56</v>
      </c>
      <c r="AA52" t="s">
        <v>95</v>
      </c>
      <c r="AB52" s="2" t="s">
        <v>70</v>
      </c>
      <c r="AC52" t="s">
        <v>81</v>
      </c>
      <c r="AD52" t="s">
        <v>82</v>
      </c>
      <c r="AE52" t="s">
        <v>62</v>
      </c>
      <c r="AF52" t="s">
        <v>63</v>
      </c>
      <c r="AG52" t="s">
        <v>61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84</v>
      </c>
    </row>
    <row r="53" spans="1:39">
      <c r="A53">
        <v>60</v>
      </c>
      <c r="B53" s="1">
        <v>46105.586331018501</v>
      </c>
      <c r="C53" s="1">
        <v>46105.591759259303</v>
      </c>
      <c r="D53" t="s">
        <v>39</v>
      </c>
      <c r="F53" s="1"/>
      <c r="G53" t="s">
        <v>85</v>
      </c>
      <c r="H53" t="s">
        <v>41</v>
      </c>
      <c r="I53" t="s">
        <v>208</v>
      </c>
      <c r="J53" t="s">
        <v>68</v>
      </c>
      <c r="K53" t="s">
        <v>69</v>
      </c>
      <c r="L53" s="2" t="s">
        <v>185</v>
      </c>
      <c r="M53" s="2" t="s">
        <v>46</v>
      </c>
      <c r="N53" t="s">
        <v>72</v>
      </c>
      <c r="O53" t="s">
        <v>73</v>
      </c>
      <c r="P53" t="s">
        <v>49</v>
      </c>
      <c r="Q53" t="s">
        <v>53</v>
      </c>
      <c r="R53" t="s">
        <v>53</v>
      </c>
      <c r="S53" s="2">
        <v>3</v>
      </c>
      <c r="T53" t="s">
        <v>91</v>
      </c>
      <c r="U53" t="s">
        <v>121</v>
      </c>
      <c r="V53" t="s">
        <v>93</v>
      </c>
      <c r="W53" t="s">
        <v>105</v>
      </c>
      <c r="X53" t="s">
        <v>247</v>
      </c>
      <c r="Y53" t="s">
        <v>78</v>
      </c>
      <c r="Z53" t="s">
        <v>78</v>
      </c>
      <c r="AA53" t="s">
        <v>95</v>
      </c>
      <c r="AB53" s="2" t="s">
        <v>80</v>
      </c>
      <c r="AC53" t="s">
        <v>113</v>
      </c>
      <c r="AD53" t="s">
        <v>128</v>
      </c>
      <c r="AE53" t="s">
        <v>107</v>
      </c>
      <c r="AF53" t="s">
        <v>50</v>
      </c>
      <c r="AG53" t="s">
        <v>128</v>
      </c>
      <c r="AH53" t="s">
        <v>84</v>
      </c>
      <c r="AI53" t="s">
        <v>84</v>
      </c>
      <c r="AJ53" t="s">
        <v>64</v>
      </c>
      <c r="AK53" t="s">
        <v>84</v>
      </c>
      <c r="AL53" t="s">
        <v>84</v>
      </c>
      <c r="AM53" t="s">
        <v>64</v>
      </c>
    </row>
    <row r="54" spans="1:39">
      <c r="A54">
        <v>61</v>
      </c>
      <c r="B54" s="1">
        <v>46105.589895833298</v>
      </c>
      <c r="C54" s="1">
        <v>46105.5924884259</v>
      </c>
      <c r="D54" t="s">
        <v>39</v>
      </c>
      <c r="F54" s="1"/>
      <c r="G54" t="s">
        <v>85</v>
      </c>
      <c r="H54" t="s">
        <v>41</v>
      </c>
      <c r="I54" t="s">
        <v>210</v>
      </c>
      <c r="J54" t="s">
        <v>68</v>
      </c>
      <c r="K54" t="s">
        <v>101</v>
      </c>
      <c r="L54" s="2" t="s">
        <v>248</v>
      </c>
      <c r="M54" s="2" t="s">
        <v>46</v>
      </c>
      <c r="N54" t="s">
        <v>110</v>
      </c>
      <c r="O54" t="s">
        <v>73</v>
      </c>
      <c r="P54" t="s">
        <v>49</v>
      </c>
      <c r="Q54" t="s">
        <v>63</v>
      </c>
      <c r="R54" t="s">
        <v>50</v>
      </c>
      <c r="S54" s="2">
        <v>5</v>
      </c>
      <c r="T54" t="s">
        <v>104</v>
      </c>
      <c r="U54" t="s">
        <v>75</v>
      </c>
      <c r="V54" t="s">
        <v>50</v>
      </c>
      <c r="W54" t="s">
        <v>116</v>
      </c>
      <c r="X54" t="s">
        <v>249</v>
      </c>
      <c r="Y54" t="s">
        <v>56</v>
      </c>
      <c r="Z54" t="s">
        <v>56</v>
      </c>
      <c r="AA54" t="s">
        <v>95</v>
      </c>
      <c r="AB54" s="2" t="s">
        <v>59</v>
      </c>
      <c r="AC54" t="s">
        <v>81</v>
      </c>
      <c r="AD54" t="s">
        <v>82</v>
      </c>
      <c r="AE54" t="s">
        <v>97</v>
      </c>
      <c r="AF54" t="s">
        <v>53</v>
      </c>
      <c r="AG54" t="s">
        <v>83</v>
      </c>
      <c r="AH54" t="s">
        <v>64</v>
      </c>
      <c r="AI54" t="s">
        <v>64</v>
      </c>
      <c r="AJ54" t="s">
        <v>64</v>
      </c>
      <c r="AK54" t="s">
        <v>64</v>
      </c>
      <c r="AL54" t="s">
        <v>65</v>
      </c>
      <c r="AM54" t="s">
        <v>65</v>
      </c>
    </row>
    <row r="55" spans="1:39">
      <c r="A55">
        <v>62</v>
      </c>
      <c r="B55" s="1">
        <v>46105.679097222201</v>
      </c>
      <c r="C55" s="1">
        <v>46105.6821180556</v>
      </c>
      <c r="D55" t="s">
        <v>39</v>
      </c>
      <c r="F55" s="1"/>
      <c r="G55" t="s">
        <v>40</v>
      </c>
      <c r="H55" t="s">
        <v>41</v>
      </c>
      <c r="I55" t="s">
        <v>250</v>
      </c>
      <c r="J55" t="s">
        <v>68</v>
      </c>
      <c r="K55" t="s">
        <v>69</v>
      </c>
      <c r="L55" s="2" t="s">
        <v>251</v>
      </c>
      <c r="M55" s="2" t="s">
        <v>166</v>
      </c>
      <c r="N55" t="s">
        <v>47</v>
      </c>
      <c r="O55" t="s">
        <v>73</v>
      </c>
      <c r="P55" t="s">
        <v>49</v>
      </c>
      <c r="Q55" t="s">
        <v>53</v>
      </c>
      <c r="R55" t="s">
        <v>50</v>
      </c>
      <c r="S55" s="2">
        <v>15</v>
      </c>
      <c r="T55" t="s">
        <v>91</v>
      </c>
      <c r="U55" t="s">
        <v>92</v>
      </c>
      <c r="V55" t="s">
        <v>50</v>
      </c>
      <c r="W55" t="s">
        <v>116</v>
      </c>
      <c r="X55" t="s">
        <v>252</v>
      </c>
      <c r="Y55" t="s">
        <v>78</v>
      </c>
      <c r="Z55" t="s">
        <v>57</v>
      </c>
      <c r="AA55" t="s">
        <v>229</v>
      </c>
      <c r="AB55" s="2" t="s">
        <v>169</v>
      </c>
      <c r="AC55" t="s">
        <v>113</v>
      </c>
      <c r="AD55" t="s">
        <v>82</v>
      </c>
      <c r="AE55" t="s">
        <v>173</v>
      </c>
      <c r="AF55" t="s">
        <v>53</v>
      </c>
      <c r="AG55" t="s">
        <v>83</v>
      </c>
      <c r="AH55" t="s">
        <v>84</v>
      </c>
      <c r="AI55" t="s">
        <v>64</v>
      </c>
      <c r="AJ55" t="s">
        <v>64</v>
      </c>
      <c r="AK55" t="s">
        <v>64</v>
      </c>
      <c r="AL55" t="s">
        <v>64</v>
      </c>
      <c r="AM55" t="s">
        <v>64</v>
      </c>
    </row>
    <row r="56" spans="1:39">
      <c r="A56">
        <v>63</v>
      </c>
      <c r="B56" s="1">
        <v>46105.682546296302</v>
      </c>
      <c r="C56" s="1">
        <v>46105.687291666698</v>
      </c>
      <c r="D56" t="s">
        <v>39</v>
      </c>
      <c r="F56" s="1"/>
      <c r="G56" t="s">
        <v>124</v>
      </c>
      <c r="H56" t="s">
        <v>41</v>
      </c>
      <c r="I56" t="s">
        <v>253</v>
      </c>
      <c r="J56" t="s">
        <v>68</v>
      </c>
      <c r="K56" t="s">
        <v>69</v>
      </c>
      <c r="L56" s="2" t="s">
        <v>254</v>
      </c>
      <c r="M56" s="2" t="s">
        <v>115</v>
      </c>
      <c r="N56" t="s">
        <v>72</v>
      </c>
      <c r="O56" t="s">
        <v>73</v>
      </c>
      <c r="P56" t="s">
        <v>49</v>
      </c>
      <c r="Q56" t="s">
        <v>103</v>
      </c>
      <c r="R56" t="s">
        <v>53</v>
      </c>
      <c r="S56" s="2">
        <v>4</v>
      </c>
      <c r="T56" t="s">
        <v>104</v>
      </c>
      <c r="U56" t="s">
        <v>92</v>
      </c>
      <c r="V56" t="s">
        <v>53</v>
      </c>
      <c r="W56" t="s">
        <v>76</v>
      </c>
      <c r="X56" t="s">
        <v>255</v>
      </c>
      <c r="Y56" t="s">
        <v>56</v>
      </c>
      <c r="Z56" t="s">
        <v>78</v>
      </c>
      <c r="AA56" t="s">
        <v>58</v>
      </c>
      <c r="AB56" s="2" t="s">
        <v>59</v>
      </c>
      <c r="AC56" t="s">
        <v>202</v>
      </c>
      <c r="AD56" t="s">
        <v>82</v>
      </c>
      <c r="AE56" t="s">
        <v>118</v>
      </c>
      <c r="AF56" t="s">
        <v>63</v>
      </c>
      <c r="AG56" t="s">
        <v>83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  <c r="AM56" t="s">
        <v>84</v>
      </c>
    </row>
    <row r="57" spans="1:39">
      <c r="A57">
        <v>64</v>
      </c>
      <c r="B57" s="1">
        <v>46105.715740740699</v>
      </c>
      <c r="C57" s="1">
        <v>46105.717743055597</v>
      </c>
      <c r="D57" t="s">
        <v>39</v>
      </c>
      <c r="F57" s="1"/>
      <c r="G57" t="s">
        <v>40</v>
      </c>
      <c r="H57" t="s">
        <v>86</v>
      </c>
      <c r="I57" t="s">
        <v>256</v>
      </c>
      <c r="J57" t="s">
        <v>43</v>
      </c>
      <c r="K57" t="s">
        <v>69</v>
      </c>
      <c r="L57" s="2" t="s">
        <v>257</v>
      </c>
      <c r="M57" s="2" t="s">
        <v>258</v>
      </c>
      <c r="N57" t="s">
        <v>110</v>
      </c>
      <c r="O57" t="s">
        <v>73</v>
      </c>
      <c r="P57" t="s">
        <v>49</v>
      </c>
      <c r="Q57" t="s">
        <v>103</v>
      </c>
      <c r="R57" t="s">
        <v>103</v>
      </c>
      <c r="S57" s="2">
        <v>2</v>
      </c>
      <c r="T57" t="s">
        <v>91</v>
      </c>
      <c r="U57" t="s">
        <v>92</v>
      </c>
      <c r="V57" t="s">
        <v>53</v>
      </c>
      <c r="W57" t="s">
        <v>76</v>
      </c>
      <c r="X57" t="s">
        <v>171</v>
      </c>
      <c r="Y57" t="s">
        <v>78</v>
      </c>
      <c r="Z57" t="s">
        <v>78</v>
      </c>
      <c r="AA57" t="s">
        <v>58</v>
      </c>
      <c r="AB57" s="2" t="s">
        <v>70</v>
      </c>
      <c r="AC57" t="s">
        <v>113</v>
      </c>
      <c r="AD57" t="s">
        <v>61</v>
      </c>
      <c r="AE57" t="s">
        <v>118</v>
      </c>
      <c r="AF57" t="s">
        <v>53</v>
      </c>
      <c r="AG57" t="s">
        <v>61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  <c r="AM57" t="s">
        <v>84</v>
      </c>
    </row>
    <row r="58" spans="1:39">
      <c r="A58">
        <v>65</v>
      </c>
      <c r="B58" s="1">
        <v>46106.201562499999</v>
      </c>
      <c r="C58" s="1">
        <v>46106.204085648104</v>
      </c>
      <c r="D58" t="s">
        <v>39</v>
      </c>
      <c r="F58" s="1"/>
      <c r="G58" t="s">
        <v>124</v>
      </c>
      <c r="H58" t="s">
        <v>41</v>
      </c>
      <c r="I58" t="s">
        <v>259</v>
      </c>
      <c r="J58" t="s">
        <v>43</v>
      </c>
      <c r="K58" t="s">
        <v>69</v>
      </c>
      <c r="L58" s="2" t="s">
        <v>257</v>
      </c>
      <c r="M58" s="2" t="s">
        <v>115</v>
      </c>
      <c r="N58" t="s">
        <v>110</v>
      </c>
      <c r="O58" t="s">
        <v>135</v>
      </c>
      <c r="P58" t="s">
        <v>49</v>
      </c>
      <c r="Q58" t="s">
        <v>93</v>
      </c>
      <c r="R58" t="s">
        <v>50</v>
      </c>
      <c r="S58" s="2">
        <v>14</v>
      </c>
      <c r="T58" t="s">
        <v>74</v>
      </c>
      <c r="U58" t="s">
        <v>92</v>
      </c>
      <c r="V58" t="s">
        <v>53</v>
      </c>
      <c r="W58" t="s">
        <v>54</v>
      </c>
      <c r="X58" t="s">
        <v>260</v>
      </c>
      <c r="Y58" t="s">
        <v>56</v>
      </c>
      <c r="Z58" t="s">
        <v>56</v>
      </c>
      <c r="AA58" t="s">
        <v>58</v>
      </c>
      <c r="AB58" s="2" t="s">
        <v>70</v>
      </c>
      <c r="AC58" t="s">
        <v>113</v>
      </c>
      <c r="AD58" t="s">
        <v>82</v>
      </c>
      <c r="AE58" t="s">
        <v>118</v>
      </c>
      <c r="AF58" t="s">
        <v>53</v>
      </c>
      <c r="AG58" t="s">
        <v>83</v>
      </c>
      <c r="AH58" t="s">
        <v>64</v>
      </c>
      <c r="AI58" t="s">
        <v>64</v>
      </c>
      <c r="AJ58" t="s">
        <v>64</v>
      </c>
      <c r="AK58" t="s">
        <v>64</v>
      </c>
      <c r="AL58" t="s">
        <v>64</v>
      </c>
      <c r="AM58" t="s">
        <v>64</v>
      </c>
    </row>
    <row r="59" spans="1:39">
      <c r="A59">
        <v>66</v>
      </c>
      <c r="B59" s="1">
        <v>46106.753599536998</v>
      </c>
      <c r="C59" s="1">
        <v>46106.755868055603</v>
      </c>
      <c r="D59" t="s">
        <v>39</v>
      </c>
      <c r="F59" s="1"/>
      <c r="G59" t="s">
        <v>85</v>
      </c>
      <c r="H59" t="s">
        <v>41</v>
      </c>
      <c r="I59" t="s">
        <v>140</v>
      </c>
      <c r="J59" t="s">
        <v>43</v>
      </c>
      <c r="K59" t="s">
        <v>198</v>
      </c>
      <c r="L59" s="2" t="s">
        <v>120</v>
      </c>
      <c r="M59" s="2" t="s">
        <v>46</v>
      </c>
      <c r="N59" t="s">
        <v>110</v>
      </c>
      <c r="O59" t="s">
        <v>73</v>
      </c>
      <c r="P59" t="s">
        <v>49</v>
      </c>
      <c r="Q59" t="s">
        <v>53</v>
      </c>
      <c r="R59" t="s">
        <v>50</v>
      </c>
      <c r="S59" s="2">
        <v>5</v>
      </c>
      <c r="T59" t="s">
        <v>104</v>
      </c>
      <c r="U59" t="s">
        <v>75</v>
      </c>
      <c r="V59" t="s">
        <v>50</v>
      </c>
      <c r="W59" t="s">
        <v>105</v>
      </c>
      <c r="X59" t="s">
        <v>261</v>
      </c>
      <c r="Y59" t="s">
        <v>57</v>
      </c>
      <c r="Z59" t="s">
        <v>56</v>
      </c>
      <c r="AA59" t="s">
        <v>58</v>
      </c>
      <c r="AB59" s="2" t="s">
        <v>169</v>
      </c>
      <c r="AC59" t="s">
        <v>60</v>
      </c>
      <c r="AD59" t="s">
        <v>61</v>
      </c>
      <c r="AE59" t="s">
        <v>62</v>
      </c>
      <c r="AF59" t="s">
        <v>53</v>
      </c>
      <c r="AG59" t="s">
        <v>61</v>
      </c>
      <c r="AH59" t="s">
        <v>66</v>
      </c>
      <c r="AI59" t="s">
        <v>193</v>
      </c>
      <c r="AJ59" t="s">
        <v>193</v>
      </c>
      <c r="AK59" t="s">
        <v>193</v>
      </c>
      <c r="AL59" t="s">
        <v>193</v>
      </c>
      <c r="AM59" t="s">
        <v>193</v>
      </c>
    </row>
    <row r="60" spans="1:39">
      <c r="A60">
        <v>67</v>
      </c>
      <c r="B60" s="1">
        <v>46107.456145833297</v>
      </c>
      <c r="C60" s="1">
        <v>46107.458969907399</v>
      </c>
      <c r="D60" t="s">
        <v>39</v>
      </c>
      <c r="F60" s="1"/>
      <c r="G60" t="s">
        <v>85</v>
      </c>
      <c r="H60" t="s">
        <v>41</v>
      </c>
      <c r="I60" t="s">
        <v>125</v>
      </c>
      <c r="J60" t="s">
        <v>68</v>
      </c>
      <c r="K60" t="s">
        <v>101</v>
      </c>
      <c r="L60" s="2" t="s">
        <v>262</v>
      </c>
      <c r="M60" s="2" t="s">
        <v>46</v>
      </c>
      <c r="N60" t="s">
        <v>72</v>
      </c>
      <c r="O60" t="s">
        <v>73</v>
      </c>
      <c r="P60" t="s">
        <v>49</v>
      </c>
      <c r="Q60" t="s">
        <v>63</v>
      </c>
      <c r="R60" t="s">
        <v>50</v>
      </c>
      <c r="S60" s="2">
        <v>5</v>
      </c>
      <c r="T60" t="s">
        <v>91</v>
      </c>
      <c r="U60" t="s">
        <v>92</v>
      </c>
      <c r="V60" t="s">
        <v>63</v>
      </c>
      <c r="W60" t="s">
        <v>116</v>
      </c>
      <c r="X60" t="s">
        <v>263</v>
      </c>
      <c r="Y60" t="s">
        <v>56</v>
      </c>
      <c r="Z60" t="s">
        <v>78</v>
      </c>
      <c r="AA60" t="s">
        <v>95</v>
      </c>
      <c r="AB60" s="2" t="s">
        <v>80</v>
      </c>
      <c r="AC60" t="s">
        <v>60</v>
      </c>
      <c r="AD60" t="s">
        <v>82</v>
      </c>
      <c r="AE60" t="s">
        <v>62</v>
      </c>
      <c r="AF60" t="s">
        <v>50</v>
      </c>
      <c r="AG60" t="s">
        <v>83</v>
      </c>
      <c r="AH60" t="s">
        <v>64</v>
      </c>
      <c r="AI60" t="s">
        <v>84</v>
      </c>
      <c r="AJ60" t="s">
        <v>65</v>
      </c>
      <c r="AK60" t="s">
        <v>64</v>
      </c>
      <c r="AL60" t="s">
        <v>84</v>
      </c>
      <c r="AM60" t="s">
        <v>65</v>
      </c>
    </row>
    <row r="61" spans="1:39">
      <c r="A61">
        <v>68</v>
      </c>
      <c r="B61" s="1">
        <v>46108.481666666703</v>
      </c>
      <c r="C61" s="1">
        <v>46108.486076388901</v>
      </c>
      <c r="D61" t="s">
        <v>39</v>
      </c>
      <c r="F61" s="1"/>
      <c r="G61" t="s">
        <v>40</v>
      </c>
      <c r="H61" t="s">
        <v>86</v>
      </c>
      <c r="I61" t="s">
        <v>264</v>
      </c>
      <c r="J61" t="s">
        <v>68</v>
      </c>
      <c r="K61" t="s">
        <v>69</v>
      </c>
      <c r="L61" s="2" t="s">
        <v>265</v>
      </c>
      <c r="M61" s="2" t="s">
        <v>115</v>
      </c>
      <c r="N61" t="s">
        <v>89</v>
      </c>
      <c r="O61" t="s">
        <v>135</v>
      </c>
      <c r="P61" t="s">
        <v>167</v>
      </c>
      <c r="Q61" t="s">
        <v>53</v>
      </c>
      <c r="R61" t="s">
        <v>50</v>
      </c>
      <c r="S61" s="2">
        <v>7</v>
      </c>
      <c r="T61" t="s">
        <v>74</v>
      </c>
      <c r="U61" t="s">
        <v>52</v>
      </c>
      <c r="V61" t="s">
        <v>63</v>
      </c>
      <c r="W61" t="s">
        <v>54</v>
      </c>
      <c r="X61" t="s">
        <v>266</v>
      </c>
      <c r="Y61" t="s">
        <v>78</v>
      </c>
      <c r="Z61" t="s">
        <v>56</v>
      </c>
      <c r="AA61" t="s">
        <v>229</v>
      </c>
      <c r="AB61" s="2" t="s">
        <v>80</v>
      </c>
      <c r="AC61" t="s">
        <v>96</v>
      </c>
      <c r="AD61" t="s">
        <v>61</v>
      </c>
      <c r="AE61" t="s">
        <v>118</v>
      </c>
      <c r="AF61" t="s">
        <v>63</v>
      </c>
      <c r="AG61" t="s">
        <v>61</v>
      </c>
      <c r="AH61" t="s">
        <v>65</v>
      </c>
      <c r="AI61" t="s">
        <v>64</v>
      </c>
      <c r="AJ61" t="s">
        <v>65</v>
      </c>
      <c r="AK61" t="s">
        <v>64</v>
      </c>
      <c r="AL61" t="s">
        <v>64</v>
      </c>
      <c r="AM61" t="s">
        <v>64</v>
      </c>
    </row>
    <row r="62" spans="1:39">
      <c r="A62">
        <v>69</v>
      </c>
      <c r="B62" s="1">
        <v>46114.594791666699</v>
      </c>
      <c r="C62" s="1">
        <v>46114.5995833333</v>
      </c>
      <c r="D62" t="s">
        <v>39</v>
      </c>
      <c r="F62" s="1"/>
      <c r="G62" t="s">
        <v>85</v>
      </c>
      <c r="H62" t="s">
        <v>41</v>
      </c>
      <c r="I62" t="s">
        <v>208</v>
      </c>
      <c r="J62" t="s">
        <v>68</v>
      </c>
      <c r="K62" t="s">
        <v>69</v>
      </c>
      <c r="L62" s="2" t="s">
        <v>109</v>
      </c>
      <c r="M62" s="2" t="s">
        <v>46</v>
      </c>
      <c r="N62" t="s">
        <v>72</v>
      </c>
      <c r="O62" t="s">
        <v>73</v>
      </c>
      <c r="P62" t="s">
        <v>167</v>
      </c>
      <c r="Q62" t="s">
        <v>50</v>
      </c>
      <c r="R62" t="s">
        <v>53</v>
      </c>
      <c r="S62" s="2">
        <v>5</v>
      </c>
      <c r="T62" t="s">
        <v>74</v>
      </c>
      <c r="U62" t="s">
        <v>92</v>
      </c>
      <c r="V62" t="s">
        <v>103</v>
      </c>
      <c r="W62" t="s">
        <v>122</v>
      </c>
      <c r="X62" t="s">
        <v>267</v>
      </c>
      <c r="Y62" t="s">
        <v>56</v>
      </c>
      <c r="Z62" t="s">
        <v>56</v>
      </c>
      <c r="AA62" t="s">
        <v>151</v>
      </c>
      <c r="AB62" s="2">
        <v>4</v>
      </c>
      <c r="AC62" t="s">
        <v>113</v>
      </c>
      <c r="AD62" t="s">
        <v>128</v>
      </c>
      <c r="AE62" t="s">
        <v>97</v>
      </c>
      <c r="AF62" t="s">
        <v>63</v>
      </c>
      <c r="AG62" t="s">
        <v>83</v>
      </c>
      <c r="AH62" t="s">
        <v>84</v>
      </c>
      <c r="AI62" t="s">
        <v>84</v>
      </c>
      <c r="AJ62" t="s">
        <v>64</v>
      </c>
      <c r="AK62" t="s">
        <v>84</v>
      </c>
      <c r="AL62" t="s">
        <v>84</v>
      </c>
      <c r="AM62" t="s">
        <v>64</v>
      </c>
    </row>
    <row r="63" spans="1:39">
      <c r="A63">
        <v>70</v>
      </c>
      <c r="B63" s="1">
        <v>46120.6863310185</v>
      </c>
      <c r="C63" s="1">
        <v>46120.687719907401</v>
      </c>
      <c r="D63" t="s">
        <v>39</v>
      </c>
      <c r="F63" s="1"/>
      <c r="G63" t="s">
        <v>98</v>
      </c>
      <c r="H63" t="s">
        <v>41</v>
      </c>
      <c r="I63" t="s">
        <v>268</v>
      </c>
      <c r="J63" t="s">
        <v>68</v>
      </c>
      <c r="K63" t="s">
        <v>101</v>
      </c>
      <c r="L63" s="2" t="s">
        <v>185</v>
      </c>
      <c r="M63" s="2" t="s">
        <v>46</v>
      </c>
      <c r="N63" t="s">
        <v>110</v>
      </c>
      <c r="O63" t="s">
        <v>73</v>
      </c>
      <c r="P63" t="s">
        <v>49</v>
      </c>
      <c r="Q63" t="s">
        <v>50</v>
      </c>
      <c r="R63" t="s">
        <v>53</v>
      </c>
      <c r="S63" s="2">
        <v>2</v>
      </c>
      <c r="T63" t="s">
        <v>51</v>
      </c>
      <c r="U63" t="s">
        <v>75</v>
      </c>
      <c r="V63" t="s">
        <v>50</v>
      </c>
      <c r="W63" t="s">
        <v>105</v>
      </c>
      <c r="X63" t="s">
        <v>183</v>
      </c>
      <c r="Y63" t="s">
        <v>57</v>
      </c>
      <c r="Z63" t="s">
        <v>56</v>
      </c>
      <c r="AA63" t="s">
        <v>58</v>
      </c>
      <c r="AB63" s="2">
        <v>4</v>
      </c>
      <c r="AC63" t="s">
        <v>113</v>
      </c>
      <c r="AD63" t="s">
        <v>128</v>
      </c>
      <c r="AE63" t="s">
        <v>165</v>
      </c>
      <c r="AF63" t="s">
        <v>50</v>
      </c>
      <c r="AG63" t="s">
        <v>83</v>
      </c>
      <c r="AH63" t="s">
        <v>64</v>
      </c>
      <c r="AI63" t="s">
        <v>64</v>
      </c>
      <c r="AJ63" t="s">
        <v>64</v>
      </c>
      <c r="AK63" t="s">
        <v>64</v>
      </c>
      <c r="AL63" t="s">
        <v>64</v>
      </c>
      <c r="AM63" t="s">
        <v>64</v>
      </c>
    </row>
    <row r="64" spans="1:39">
      <c r="A64">
        <v>71</v>
      </c>
      <c r="B64" s="1">
        <v>46120.686851851897</v>
      </c>
      <c r="C64" s="1">
        <v>46120.687754629602</v>
      </c>
      <c r="D64" t="s">
        <v>39</v>
      </c>
      <c r="F64" s="1"/>
      <c r="G64" t="s">
        <v>98</v>
      </c>
      <c r="H64" t="s">
        <v>86</v>
      </c>
      <c r="I64" t="s">
        <v>269</v>
      </c>
      <c r="J64" t="s">
        <v>43</v>
      </c>
      <c r="K64" t="s">
        <v>101</v>
      </c>
      <c r="L64" s="2" t="s">
        <v>257</v>
      </c>
      <c r="M64" s="2" t="s">
        <v>71</v>
      </c>
      <c r="N64" t="s">
        <v>47</v>
      </c>
      <c r="O64" t="s">
        <v>135</v>
      </c>
      <c r="P64" t="s">
        <v>49</v>
      </c>
      <c r="Q64" t="s">
        <v>53</v>
      </c>
      <c r="R64" t="s">
        <v>53</v>
      </c>
      <c r="S64" s="2">
        <v>10</v>
      </c>
      <c r="T64" t="s">
        <v>91</v>
      </c>
      <c r="U64" t="s">
        <v>121</v>
      </c>
      <c r="V64" t="s">
        <v>50</v>
      </c>
      <c r="W64" t="s">
        <v>54</v>
      </c>
      <c r="X64" t="s">
        <v>221</v>
      </c>
      <c r="Y64" t="s">
        <v>56</v>
      </c>
      <c r="Z64" t="s">
        <v>78</v>
      </c>
      <c r="AA64" t="s">
        <v>151</v>
      </c>
      <c r="AB64" s="2">
        <v>4</v>
      </c>
      <c r="AC64" t="s">
        <v>113</v>
      </c>
      <c r="AD64" t="s">
        <v>82</v>
      </c>
      <c r="AE64" t="s">
        <v>173</v>
      </c>
      <c r="AF64" t="s">
        <v>50</v>
      </c>
      <c r="AG64" t="s">
        <v>61</v>
      </c>
      <c r="AH64" t="s">
        <v>65</v>
      </c>
      <c r="AI64" t="s">
        <v>65</v>
      </c>
      <c r="AJ64" t="s">
        <v>65</v>
      </c>
      <c r="AK64" t="s">
        <v>65</v>
      </c>
      <c r="AL64" t="s">
        <v>65</v>
      </c>
      <c r="AM64" t="s">
        <v>65</v>
      </c>
    </row>
    <row r="65" spans="1:39">
      <c r="A65">
        <v>72</v>
      </c>
      <c r="B65" s="1">
        <v>46120.6877662037</v>
      </c>
      <c r="C65" s="1">
        <v>46120.689976851798</v>
      </c>
      <c r="D65" t="s">
        <v>39</v>
      </c>
      <c r="F65" s="1"/>
      <c r="G65" t="s">
        <v>124</v>
      </c>
      <c r="H65" t="s">
        <v>41</v>
      </c>
      <c r="I65" t="s">
        <v>125</v>
      </c>
      <c r="J65" t="s">
        <v>43</v>
      </c>
      <c r="K65" t="s">
        <v>101</v>
      </c>
      <c r="L65" s="2" t="s">
        <v>120</v>
      </c>
      <c r="M65" s="2" t="s">
        <v>46</v>
      </c>
      <c r="N65" t="s">
        <v>89</v>
      </c>
      <c r="O65" t="s">
        <v>135</v>
      </c>
      <c r="P65" t="s">
        <v>49</v>
      </c>
      <c r="Q65" t="s">
        <v>63</v>
      </c>
      <c r="R65" t="s">
        <v>53</v>
      </c>
      <c r="S65" s="2">
        <v>10</v>
      </c>
      <c r="T65" t="s">
        <v>91</v>
      </c>
      <c r="U65" t="s">
        <v>92</v>
      </c>
      <c r="V65" t="s">
        <v>63</v>
      </c>
      <c r="W65" t="s">
        <v>122</v>
      </c>
      <c r="X65" t="s">
        <v>196</v>
      </c>
      <c r="Y65" t="s">
        <v>56</v>
      </c>
      <c r="Z65" t="s">
        <v>78</v>
      </c>
      <c r="AA65" t="s">
        <v>95</v>
      </c>
      <c r="AB65" s="2">
        <v>5</v>
      </c>
      <c r="AC65" t="s">
        <v>113</v>
      </c>
      <c r="AD65" t="s">
        <v>128</v>
      </c>
      <c r="AE65" t="s">
        <v>270</v>
      </c>
      <c r="AF65" t="s">
        <v>53</v>
      </c>
      <c r="AG65" t="s">
        <v>128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84</v>
      </c>
    </row>
    <row r="66" spans="1:39">
      <c r="A66">
        <v>73</v>
      </c>
      <c r="B66" s="1">
        <v>46120.688888888901</v>
      </c>
      <c r="C66" s="1">
        <v>46120.690775463001</v>
      </c>
      <c r="D66" t="s">
        <v>39</v>
      </c>
      <c r="F66" s="1"/>
      <c r="G66" t="s">
        <v>98</v>
      </c>
      <c r="H66" t="s">
        <v>86</v>
      </c>
      <c r="I66" t="s">
        <v>179</v>
      </c>
      <c r="J66" t="s">
        <v>68</v>
      </c>
      <c r="K66" t="s">
        <v>44</v>
      </c>
      <c r="L66" s="2" t="s">
        <v>130</v>
      </c>
      <c r="M66" s="2" t="s">
        <v>102</v>
      </c>
      <c r="N66" t="s">
        <v>89</v>
      </c>
      <c r="O66" t="s">
        <v>90</v>
      </c>
      <c r="P66" t="s">
        <v>49</v>
      </c>
      <c r="Q66" t="s">
        <v>63</v>
      </c>
      <c r="R66" t="s">
        <v>50</v>
      </c>
      <c r="S66" s="2">
        <v>4</v>
      </c>
      <c r="T66" t="s">
        <v>74</v>
      </c>
      <c r="U66" t="s">
        <v>75</v>
      </c>
      <c r="V66" t="s">
        <v>63</v>
      </c>
      <c r="W66" t="s">
        <v>54</v>
      </c>
      <c r="X66" t="s">
        <v>271</v>
      </c>
      <c r="Y66" t="s">
        <v>56</v>
      </c>
      <c r="Z66" t="s">
        <v>78</v>
      </c>
      <c r="AA66" t="s">
        <v>95</v>
      </c>
      <c r="AB66" s="2">
        <v>1</v>
      </c>
      <c r="AC66" t="s">
        <v>113</v>
      </c>
      <c r="AD66" t="s">
        <v>82</v>
      </c>
      <c r="AE66" t="s">
        <v>173</v>
      </c>
      <c r="AF66" t="s">
        <v>53</v>
      </c>
      <c r="AG66" t="s">
        <v>83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  <c r="AM66" t="s">
        <v>64</v>
      </c>
    </row>
    <row r="67" spans="1:39">
      <c r="A67">
        <v>74</v>
      </c>
      <c r="B67" s="1">
        <v>46120.687928240703</v>
      </c>
      <c r="C67" s="1">
        <v>46120.690810185202</v>
      </c>
      <c r="D67" t="s">
        <v>39</v>
      </c>
      <c r="F67" s="1"/>
      <c r="G67" t="s">
        <v>272</v>
      </c>
      <c r="H67" t="s">
        <v>86</v>
      </c>
      <c r="I67" t="s">
        <v>273</v>
      </c>
      <c r="J67" t="s">
        <v>68</v>
      </c>
      <c r="K67" t="s">
        <v>101</v>
      </c>
      <c r="L67" s="2" t="s">
        <v>146</v>
      </c>
      <c r="M67" s="2" t="s">
        <v>46</v>
      </c>
      <c r="N67" t="s">
        <v>72</v>
      </c>
      <c r="O67" t="s">
        <v>73</v>
      </c>
      <c r="P67" t="s">
        <v>148</v>
      </c>
      <c r="Q67" t="s">
        <v>50</v>
      </c>
      <c r="R67" t="s">
        <v>53</v>
      </c>
      <c r="S67" s="2">
        <v>14</v>
      </c>
      <c r="T67" t="s">
        <v>154</v>
      </c>
      <c r="U67" t="s">
        <v>75</v>
      </c>
      <c r="V67" t="s">
        <v>53</v>
      </c>
      <c r="W67" t="s">
        <v>105</v>
      </c>
      <c r="X67" t="s">
        <v>274</v>
      </c>
      <c r="Y67" t="s">
        <v>57</v>
      </c>
      <c r="Z67" t="s">
        <v>56</v>
      </c>
      <c r="AA67" t="s">
        <v>95</v>
      </c>
      <c r="AB67" s="2">
        <v>5</v>
      </c>
      <c r="AC67" t="s">
        <v>113</v>
      </c>
      <c r="AD67" t="s">
        <v>82</v>
      </c>
      <c r="AE67" t="s">
        <v>275</v>
      </c>
      <c r="AF67" t="s">
        <v>53</v>
      </c>
      <c r="AG67" t="s">
        <v>61</v>
      </c>
      <c r="AH67" t="s">
        <v>64</v>
      </c>
      <c r="AI67" t="s">
        <v>65</v>
      </c>
      <c r="AJ67" t="s">
        <v>64</v>
      </c>
      <c r="AK67" t="s">
        <v>65</v>
      </c>
      <c r="AL67" t="s">
        <v>66</v>
      </c>
      <c r="AM67" t="s">
        <v>64</v>
      </c>
    </row>
    <row r="68" spans="1:39">
      <c r="A68">
        <v>75</v>
      </c>
      <c r="B68" s="1">
        <v>46120.689155092601</v>
      </c>
      <c r="C68" s="1">
        <v>46120.691597222198</v>
      </c>
      <c r="D68" t="s">
        <v>39</v>
      </c>
      <c r="F68" s="1"/>
      <c r="G68" t="s">
        <v>98</v>
      </c>
      <c r="H68" t="s">
        <v>86</v>
      </c>
      <c r="I68" t="s">
        <v>276</v>
      </c>
      <c r="J68" t="s">
        <v>43</v>
      </c>
      <c r="K68" t="s">
        <v>69</v>
      </c>
      <c r="L68" s="2" t="s">
        <v>277</v>
      </c>
      <c r="M68" s="2" t="s">
        <v>71</v>
      </c>
      <c r="N68" t="s">
        <v>72</v>
      </c>
      <c r="O68" t="s">
        <v>48</v>
      </c>
      <c r="P68" t="s">
        <v>49</v>
      </c>
      <c r="Q68" t="s">
        <v>63</v>
      </c>
      <c r="R68" t="s">
        <v>53</v>
      </c>
      <c r="S68" s="2">
        <v>5</v>
      </c>
      <c r="T68" t="s">
        <v>74</v>
      </c>
      <c r="U68" t="s">
        <v>121</v>
      </c>
      <c r="V68" t="s">
        <v>63</v>
      </c>
      <c r="W68" t="s">
        <v>105</v>
      </c>
      <c r="X68" t="s">
        <v>278</v>
      </c>
      <c r="Y68" t="s">
        <v>56</v>
      </c>
      <c r="Z68" t="s">
        <v>56</v>
      </c>
      <c r="AA68" t="s">
        <v>151</v>
      </c>
      <c r="AB68" s="2">
        <v>2</v>
      </c>
      <c r="AC68" t="s">
        <v>113</v>
      </c>
      <c r="AD68" t="s">
        <v>128</v>
      </c>
      <c r="AE68" t="s">
        <v>62</v>
      </c>
      <c r="AF68" t="s">
        <v>63</v>
      </c>
      <c r="AG68" t="s">
        <v>279</v>
      </c>
      <c r="AH68" t="s">
        <v>64</v>
      </c>
      <c r="AI68" t="s">
        <v>65</v>
      </c>
      <c r="AJ68" t="s">
        <v>64</v>
      </c>
      <c r="AK68" t="s">
        <v>64</v>
      </c>
      <c r="AL68" t="s">
        <v>65</v>
      </c>
      <c r="AM68" t="s">
        <v>66</v>
      </c>
    </row>
    <row r="69" spans="1:39">
      <c r="A69">
        <v>76</v>
      </c>
      <c r="B69" s="1">
        <v>46120.6898842593</v>
      </c>
      <c r="C69" s="1">
        <v>46120.691944444399</v>
      </c>
      <c r="D69" t="s">
        <v>39</v>
      </c>
      <c r="F69" s="1"/>
      <c r="G69" t="s">
        <v>98</v>
      </c>
      <c r="H69" t="s">
        <v>86</v>
      </c>
      <c r="I69" t="s">
        <v>276</v>
      </c>
      <c r="J69" t="s">
        <v>68</v>
      </c>
      <c r="K69" t="s">
        <v>101</v>
      </c>
      <c r="L69" s="2" t="s">
        <v>120</v>
      </c>
      <c r="M69" s="2" t="s">
        <v>46</v>
      </c>
      <c r="N69" t="s">
        <v>47</v>
      </c>
      <c r="O69" t="s">
        <v>135</v>
      </c>
      <c r="P69" t="s">
        <v>148</v>
      </c>
      <c r="Q69" t="s">
        <v>53</v>
      </c>
      <c r="R69" t="s">
        <v>50</v>
      </c>
      <c r="S69" s="2">
        <v>3</v>
      </c>
      <c r="T69" t="s">
        <v>74</v>
      </c>
      <c r="U69" t="s">
        <v>75</v>
      </c>
      <c r="V69" t="s">
        <v>63</v>
      </c>
      <c r="W69" t="s">
        <v>54</v>
      </c>
      <c r="X69" t="s">
        <v>183</v>
      </c>
      <c r="Y69" t="s">
        <v>78</v>
      </c>
      <c r="Z69" t="s">
        <v>56</v>
      </c>
      <c r="AA69" t="s">
        <v>112</v>
      </c>
      <c r="AB69" s="2">
        <v>3</v>
      </c>
      <c r="AC69" t="s">
        <v>113</v>
      </c>
      <c r="AD69" t="s">
        <v>128</v>
      </c>
      <c r="AE69" t="s">
        <v>280</v>
      </c>
      <c r="AF69" t="s">
        <v>53</v>
      </c>
      <c r="AG69" t="s">
        <v>83</v>
      </c>
      <c r="AH69" t="s">
        <v>64</v>
      </c>
      <c r="AI69" t="s">
        <v>84</v>
      </c>
      <c r="AJ69" t="s">
        <v>64</v>
      </c>
      <c r="AK69" t="s">
        <v>64</v>
      </c>
      <c r="AL69" t="s">
        <v>64</v>
      </c>
      <c r="AM69" t="s">
        <v>64</v>
      </c>
    </row>
    <row r="70" spans="1:39">
      <c r="A70">
        <v>77</v>
      </c>
      <c r="B70" s="1">
        <v>46120.689965277801</v>
      </c>
      <c r="C70" s="1">
        <v>46120.691956018498</v>
      </c>
      <c r="D70" t="s">
        <v>39</v>
      </c>
      <c r="F70" s="1"/>
      <c r="G70" t="s">
        <v>98</v>
      </c>
      <c r="H70" t="s">
        <v>86</v>
      </c>
      <c r="I70" t="s">
        <v>281</v>
      </c>
      <c r="J70" t="s">
        <v>68</v>
      </c>
      <c r="K70" t="s">
        <v>69</v>
      </c>
      <c r="L70" s="2" t="s">
        <v>282</v>
      </c>
      <c r="M70" s="2" t="s">
        <v>46</v>
      </c>
      <c r="N70" t="s">
        <v>72</v>
      </c>
      <c r="O70" t="s">
        <v>135</v>
      </c>
      <c r="P70" t="s">
        <v>148</v>
      </c>
      <c r="Q70" t="s">
        <v>50</v>
      </c>
      <c r="R70" t="s">
        <v>53</v>
      </c>
      <c r="S70" s="2">
        <v>3</v>
      </c>
      <c r="T70" t="s">
        <v>74</v>
      </c>
      <c r="U70" t="s">
        <v>75</v>
      </c>
      <c r="V70" t="s">
        <v>93</v>
      </c>
      <c r="W70" t="s">
        <v>76</v>
      </c>
      <c r="X70" t="s">
        <v>111</v>
      </c>
      <c r="Y70" t="s">
        <v>78</v>
      </c>
      <c r="Z70" t="s">
        <v>56</v>
      </c>
      <c r="AA70" t="s">
        <v>95</v>
      </c>
      <c r="AB70" s="2">
        <v>3</v>
      </c>
      <c r="AC70" t="s">
        <v>113</v>
      </c>
      <c r="AD70" t="s">
        <v>128</v>
      </c>
      <c r="AE70" t="s">
        <v>173</v>
      </c>
      <c r="AF70" t="s">
        <v>63</v>
      </c>
      <c r="AG70" t="s">
        <v>128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  <c r="AM70" t="s">
        <v>84</v>
      </c>
    </row>
    <row r="71" spans="1:39">
      <c r="A71">
        <v>78</v>
      </c>
      <c r="B71" s="1">
        <v>46120.686805555597</v>
      </c>
      <c r="C71" s="1">
        <v>46120.692407407398</v>
      </c>
      <c r="D71" t="s">
        <v>39</v>
      </c>
      <c r="F71" s="1"/>
      <c r="G71" t="s">
        <v>85</v>
      </c>
      <c r="H71" t="s">
        <v>41</v>
      </c>
      <c r="I71" t="s">
        <v>283</v>
      </c>
      <c r="J71" t="s">
        <v>43</v>
      </c>
      <c r="K71" t="s">
        <v>101</v>
      </c>
      <c r="L71" s="2" t="s">
        <v>284</v>
      </c>
      <c r="M71" s="2" t="s">
        <v>71</v>
      </c>
      <c r="N71" t="s">
        <v>72</v>
      </c>
      <c r="O71" t="s">
        <v>73</v>
      </c>
      <c r="P71" t="s">
        <v>49</v>
      </c>
      <c r="Q71" t="s">
        <v>53</v>
      </c>
      <c r="R71" t="s">
        <v>53</v>
      </c>
      <c r="S71" s="2">
        <v>3</v>
      </c>
      <c r="T71" t="s">
        <v>91</v>
      </c>
      <c r="U71" t="s">
        <v>92</v>
      </c>
      <c r="V71" t="s">
        <v>103</v>
      </c>
      <c r="W71" t="s">
        <v>105</v>
      </c>
      <c r="X71" t="s">
        <v>183</v>
      </c>
      <c r="Y71" t="s">
        <v>78</v>
      </c>
      <c r="Z71" t="s">
        <v>78</v>
      </c>
      <c r="AA71" t="s">
        <v>112</v>
      </c>
      <c r="AB71" s="2">
        <v>5</v>
      </c>
      <c r="AC71" t="s">
        <v>113</v>
      </c>
      <c r="AD71" t="s">
        <v>82</v>
      </c>
      <c r="AE71" t="s">
        <v>62</v>
      </c>
      <c r="AF71" t="s">
        <v>50</v>
      </c>
      <c r="AG71" t="s">
        <v>83</v>
      </c>
      <c r="AH71" t="s">
        <v>64</v>
      </c>
      <c r="AI71" t="s">
        <v>84</v>
      </c>
      <c r="AJ71" t="s">
        <v>64</v>
      </c>
      <c r="AK71" t="s">
        <v>64</v>
      </c>
      <c r="AL71" t="s">
        <v>64</v>
      </c>
      <c r="AM71" t="s">
        <v>64</v>
      </c>
    </row>
    <row r="72" spans="1:39">
      <c r="A72">
        <v>79</v>
      </c>
      <c r="B72" s="1">
        <v>46120.688796296301</v>
      </c>
      <c r="C72" s="1">
        <v>46120.693124999998</v>
      </c>
      <c r="D72" t="s">
        <v>39</v>
      </c>
      <c r="F72" s="1"/>
      <c r="G72" t="s">
        <v>98</v>
      </c>
      <c r="H72" t="s">
        <v>41</v>
      </c>
      <c r="I72" t="s">
        <v>285</v>
      </c>
      <c r="J72" t="s">
        <v>68</v>
      </c>
      <c r="K72" t="s">
        <v>101</v>
      </c>
      <c r="L72" s="2" t="s">
        <v>224</v>
      </c>
      <c r="M72" s="2" t="s">
        <v>46</v>
      </c>
      <c r="N72" t="s">
        <v>110</v>
      </c>
      <c r="O72" t="s">
        <v>135</v>
      </c>
      <c r="P72" t="s">
        <v>167</v>
      </c>
      <c r="Q72" t="s">
        <v>53</v>
      </c>
      <c r="R72" t="s">
        <v>50</v>
      </c>
      <c r="S72" s="2">
        <v>5</v>
      </c>
      <c r="T72" t="s">
        <v>91</v>
      </c>
      <c r="U72" t="s">
        <v>75</v>
      </c>
      <c r="V72" t="s">
        <v>53</v>
      </c>
      <c r="W72" t="s">
        <v>54</v>
      </c>
      <c r="X72" t="s">
        <v>176</v>
      </c>
      <c r="Y72" t="s">
        <v>56</v>
      </c>
      <c r="Z72" t="s">
        <v>57</v>
      </c>
      <c r="AA72" t="s">
        <v>79</v>
      </c>
      <c r="AB72" s="2">
        <v>4</v>
      </c>
      <c r="AC72" t="s">
        <v>60</v>
      </c>
      <c r="AD72" t="s">
        <v>128</v>
      </c>
      <c r="AE72" t="s">
        <v>97</v>
      </c>
      <c r="AF72" t="s">
        <v>53</v>
      </c>
      <c r="AG72" t="s">
        <v>83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  <c r="AM72" t="s">
        <v>84</v>
      </c>
    </row>
    <row r="73" spans="1:39">
      <c r="A73">
        <v>80</v>
      </c>
      <c r="B73" s="1">
        <v>46120.691655092603</v>
      </c>
      <c r="C73" s="1">
        <v>46120.693206018499</v>
      </c>
      <c r="D73" t="s">
        <v>39</v>
      </c>
      <c r="F73" s="1"/>
      <c r="G73" t="s">
        <v>124</v>
      </c>
      <c r="H73" t="s">
        <v>41</v>
      </c>
      <c r="I73" t="s">
        <v>145</v>
      </c>
      <c r="J73" t="s">
        <v>68</v>
      </c>
      <c r="K73" t="s">
        <v>101</v>
      </c>
      <c r="L73" s="2" t="s">
        <v>286</v>
      </c>
      <c r="M73" s="2" t="s">
        <v>115</v>
      </c>
      <c r="N73" t="s">
        <v>47</v>
      </c>
      <c r="O73" t="s">
        <v>73</v>
      </c>
      <c r="P73" t="s">
        <v>49</v>
      </c>
      <c r="Q73" t="s">
        <v>50</v>
      </c>
      <c r="R73" t="s">
        <v>50</v>
      </c>
      <c r="S73" s="2">
        <v>3</v>
      </c>
      <c r="T73" t="s">
        <v>91</v>
      </c>
      <c r="U73" t="s">
        <v>92</v>
      </c>
      <c r="V73" t="s">
        <v>93</v>
      </c>
      <c r="W73" t="s">
        <v>122</v>
      </c>
      <c r="X73" t="s">
        <v>216</v>
      </c>
      <c r="Y73" t="s">
        <v>56</v>
      </c>
      <c r="Z73" t="s">
        <v>56</v>
      </c>
      <c r="AA73" t="s">
        <v>58</v>
      </c>
      <c r="AB73" s="2">
        <v>5</v>
      </c>
      <c r="AC73" t="s">
        <v>113</v>
      </c>
      <c r="AD73" t="s">
        <v>61</v>
      </c>
      <c r="AE73" t="s">
        <v>173</v>
      </c>
      <c r="AF73" t="s">
        <v>53</v>
      </c>
      <c r="AG73" t="s">
        <v>61</v>
      </c>
      <c r="AH73" t="s">
        <v>66</v>
      </c>
      <c r="AI73" t="s">
        <v>66</v>
      </c>
      <c r="AJ73" t="s">
        <v>66</v>
      </c>
      <c r="AK73" t="s">
        <v>66</v>
      </c>
      <c r="AL73" t="s">
        <v>65</v>
      </c>
      <c r="AM73" t="s">
        <v>65</v>
      </c>
    </row>
    <row r="74" spans="1:39">
      <c r="A74">
        <v>81</v>
      </c>
      <c r="B74" s="1">
        <v>46120.692349536999</v>
      </c>
      <c r="C74" s="1">
        <v>46120.694062499999</v>
      </c>
      <c r="D74" t="s">
        <v>39</v>
      </c>
      <c r="F74" s="1"/>
      <c r="G74" t="s">
        <v>272</v>
      </c>
      <c r="H74" t="s">
        <v>86</v>
      </c>
      <c r="I74" t="s">
        <v>174</v>
      </c>
      <c r="J74" t="s">
        <v>43</v>
      </c>
      <c r="K74" t="s">
        <v>69</v>
      </c>
      <c r="L74" s="2" t="s">
        <v>146</v>
      </c>
      <c r="M74" s="2" t="s">
        <v>71</v>
      </c>
      <c r="N74" t="s">
        <v>89</v>
      </c>
      <c r="O74" t="s">
        <v>135</v>
      </c>
      <c r="P74" t="s">
        <v>49</v>
      </c>
      <c r="Q74" t="s">
        <v>103</v>
      </c>
      <c r="R74" t="s">
        <v>53</v>
      </c>
      <c r="S74" s="2">
        <v>7</v>
      </c>
      <c r="T74" t="s">
        <v>91</v>
      </c>
      <c r="U74" t="s">
        <v>75</v>
      </c>
      <c r="V74" t="s">
        <v>93</v>
      </c>
      <c r="W74" t="s">
        <v>76</v>
      </c>
      <c r="X74" t="s">
        <v>287</v>
      </c>
      <c r="Y74" t="s">
        <v>56</v>
      </c>
      <c r="Z74" t="s">
        <v>78</v>
      </c>
      <c r="AA74" t="s">
        <v>95</v>
      </c>
      <c r="AB74" s="2">
        <v>4</v>
      </c>
      <c r="AC74" t="s">
        <v>113</v>
      </c>
      <c r="AD74" t="s">
        <v>178</v>
      </c>
      <c r="AE74" t="s">
        <v>62</v>
      </c>
      <c r="AF74" t="s">
        <v>53</v>
      </c>
      <c r="AG74" t="s">
        <v>178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 t="s">
        <v>65</v>
      </c>
    </row>
    <row r="75" spans="1:39">
      <c r="A75">
        <v>82</v>
      </c>
      <c r="B75" s="1">
        <v>46120.693078703698</v>
      </c>
      <c r="C75" s="1">
        <v>46120.694374999999</v>
      </c>
      <c r="D75" t="s">
        <v>39</v>
      </c>
      <c r="F75" s="1"/>
      <c r="G75" t="s">
        <v>272</v>
      </c>
      <c r="H75" t="s">
        <v>41</v>
      </c>
      <c r="I75" t="s">
        <v>288</v>
      </c>
      <c r="J75" t="s">
        <v>43</v>
      </c>
      <c r="K75" t="s">
        <v>69</v>
      </c>
      <c r="L75" s="2" t="s">
        <v>257</v>
      </c>
      <c r="M75" s="2" t="s">
        <v>163</v>
      </c>
      <c r="N75" t="s">
        <v>47</v>
      </c>
      <c r="O75" t="s">
        <v>48</v>
      </c>
      <c r="P75" t="s">
        <v>49</v>
      </c>
      <c r="Q75" t="s">
        <v>53</v>
      </c>
      <c r="R75" t="s">
        <v>50</v>
      </c>
      <c r="S75" s="2">
        <v>7</v>
      </c>
      <c r="T75" t="s">
        <v>91</v>
      </c>
      <c r="U75" t="s">
        <v>92</v>
      </c>
      <c r="V75" t="s">
        <v>63</v>
      </c>
      <c r="W75" t="s">
        <v>54</v>
      </c>
      <c r="X75" t="s">
        <v>289</v>
      </c>
      <c r="Y75" t="s">
        <v>56</v>
      </c>
      <c r="Z75" t="s">
        <v>56</v>
      </c>
      <c r="AA75" t="s">
        <v>112</v>
      </c>
      <c r="AB75" s="2">
        <v>4</v>
      </c>
      <c r="AC75" t="s">
        <v>113</v>
      </c>
      <c r="AD75" t="s">
        <v>61</v>
      </c>
      <c r="AE75" t="s">
        <v>165</v>
      </c>
      <c r="AF75" t="s">
        <v>50</v>
      </c>
      <c r="AG75" t="s">
        <v>61</v>
      </c>
      <c r="AH75" t="s">
        <v>65</v>
      </c>
      <c r="AI75" t="s">
        <v>65</v>
      </c>
      <c r="AJ75" t="s">
        <v>65</v>
      </c>
      <c r="AK75" t="s">
        <v>65</v>
      </c>
      <c r="AL75" t="s">
        <v>65</v>
      </c>
      <c r="AM75" t="s">
        <v>65</v>
      </c>
    </row>
    <row r="76" spans="1:39">
      <c r="A76">
        <v>83</v>
      </c>
      <c r="B76" s="1">
        <v>46120.692002314798</v>
      </c>
      <c r="C76" s="1">
        <v>46120.694386574098</v>
      </c>
      <c r="D76" t="s">
        <v>39</v>
      </c>
      <c r="F76" s="1"/>
      <c r="G76" t="s">
        <v>98</v>
      </c>
      <c r="H76" t="s">
        <v>41</v>
      </c>
      <c r="I76" t="s">
        <v>268</v>
      </c>
      <c r="J76" t="s">
        <v>68</v>
      </c>
      <c r="K76" t="s">
        <v>101</v>
      </c>
      <c r="L76" s="2" t="s">
        <v>130</v>
      </c>
      <c r="M76" s="2" t="s">
        <v>46</v>
      </c>
      <c r="N76" t="s">
        <v>72</v>
      </c>
      <c r="O76" t="s">
        <v>135</v>
      </c>
      <c r="P76" t="s">
        <v>49</v>
      </c>
      <c r="Q76" t="s">
        <v>63</v>
      </c>
      <c r="R76" t="s">
        <v>50</v>
      </c>
      <c r="S76" s="2">
        <v>4</v>
      </c>
      <c r="T76" t="s">
        <v>104</v>
      </c>
      <c r="U76" t="s">
        <v>121</v>
      </c>
      <c r="V76" t="s">
        <v>53</v>
      </c>
      <c r="W76" t="s">
        <v>122</v>
      </c>
      <c r="X76" t="s">
        <v>290</v>
      </c>
      <c r="Y76" t="s">
        <v>56</v>
      </c>
      <c r="Z76" t="s">
        <v>78</v>
      </c>
      <c r="AA76" t="s">
        <v>291</v>
      </c>
      <c r="AB76" s="2">
        <v>4</v>
      </c>
      <c r="AC76" t="s">
        <v>96</v>
      </c>
      <c r="AD76" t="s">
        <v>128</v>
      </c>
      <c r="AE76" t="s">
        <v>97</v>
      </c>
      <c r="AF76" t="s">
        <v>63</v>
      </c>
      <c r="AG76" t="s">
        <v>61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  <c r="AM76" t="s">
        <v>84</v>
      </c>
    </row>
    <row r="77" spans="1:39">
      <c r="A77">
        <v>84</v>
      </c>
      <c r="B77" s="1">
        <v>46120.691979166702</v>
      </c>
      <c r="C77" s="1">
        <v>46120.694629629601</v>
      </c>
      <c r="D77" t="s">
        <v>39</v>
      </c>
      <c r="F77" s="1"/>
      <c r="G77" t="s">
        <v>85</v>
      </c>
      <c r="H77" t="s">
        <v>41</v>
      </c>
      <c r="I77" t="s">
        <v>253</v>
      </c>
      <c r="J77" t="s">
        <v>68</v>
      </c>
      <c r="K77" t="s">
        <v>101</v>
      </c>
      <c r="L77" s="2" t="s">
        <v>182</v>
      </c>
      <c r="M77" s="2" t="s">
        <v>46</v>
      </c>
      <c r="N77" t="s">
        <v>47</v>
      </c>
      <c r="O77" t="s">
        <v>135</v>
      </c>
      <c r="P77" t="s">
        <v>49</v>
      </c>
      <c r="Q77" t="s">
        <v>50</v>
      </c>
      <c r="R77" t="s">
        <v>50</v>
      </c>
      <c r="S77" s="2">
        <v>5</v>
      </c>
      <c r="T77" t="s">
        <v>91</v>
      </c>
      <c r="U77" t="s">
        <v>121</v>
      </c>
      <c r="V77" t="s">
        <v>93</v>
      </c>
      <c r="W77" t="s">
        <v>122</v>
      </c>
      <c r="X77" t="s">
        <v>292</v>
      </c>
      <c r="Y77" t="s">
        <v>78</v>
      </c>
      <c r="Z77" t="s">
        <v>56</v>
      </c>
      <c r="AA77" t="s">
        <v>58</v>
      </c>
      <c r="AB77" s="2">
        <v>5</v>
      </c>
      <c r="AC77" t="s">
        <v>113</v>
      </c>
      <c r="AD77" t="s">
        <v>82</v>
      </c>
      <c r="AE77" t="s">
        <v>62</v>
      </c>
      <c r="AF77" t="s">
        <v>53</v>
      </c>
      <c r="AG77" t="s">
        <v>83</v>
      </c>
      <c r="AH77" t="s">
        <v>64</v>
      </c>
      <c r="AI77" t="s">
        <v>64</v>
      </c>
      <c r="AJ77" t="s">
        <v>64</v>
      </c>
      <c r="AK77" t="s">
        <v>84</v>
      </c>
      <c r="AL77" t="s">
        <v>66</v>
      </c>
      <c r="AM77" t="s">
        <v>64</v>
      </c>
    </row>
    <row r="78" spans="1:39">
      <c r="A78">
        <v>85</v>
      </c>
      <c r="B78" s="1">
        <v>46120.692187499997</v>
      </c>
      <c r="C78" s="1">
        <v>46120.694664351897</v>
      </c>
      <c r="D78" t="s">
        <v>39</v>
      </c>
      <c r="F78" s="1"/>
      <c r="G78" t="s">
        <v>98</v>
      </c>
      <c r="H78" t="s">
        <v>41</v>
      </c>
      <c r="I78" t="s">
        <v>293</v>
      </c>
      <c r="J78" t="s">
        <v>68</v>
      </c>
      <c r="K78" t="s">
        <v>101</v>
      </c>
      <c r="L78" s="2" t="s">
        <v>257</v>
      </c>
      <c r="M78" s="2" t="s">
        <v>46</v>
      </c>
      <c r="N78" t="s">
        <v>110</v>
      </c>
      <c r="O78" t="s">
        <v>135</v>
      </c>
      <c r="P78" t="s">
        <v>49</v>
      </c>
      <c r="Q78" t="s">
        <v>93</v>
      </c>
      <c r="R78" t="s">
        <v>53</v>
      </c>
      <c r="S78" s="2">
        <v>3</v>
      </c>
      <c r="T78" t="s">
        <v>91</v>
      </c>
      <c r="U78" t="s">
        <v>52</v>
      </c>
      <c r="V78" t="s">
        <v>93</v>
      </c>
      <c r="W78" t="s">
        <v>105</v>
      </c>
      <c r="X78" t="s">
        <v>294</v>
      </c>
      <c r="Y78" t="s">
        <v>56</v>
      </c>
      <c r="Z78" t="s">
        <v>78</v>
      </c>
      <c r="AA78" t="s">
        <v>95</v>
      </c>
      <c r="AB78" s="2">
        <v>5</v>
      </c>
      <c r="AC78" t="s">
        <v>113</v>
      </c>
      <c r="AD78" t="s">
        <v>82</v>
      </c>
      <c r="AE78" t="s">
        <v>107</v>
      </c>
      <c r="AF78" t="s">
        <v>63</v>
      </c>
      <c r="AG78" t="s">
        <v>61</v>
      </c>
      <c r="AH78" t="s">
        <v>84</v>
      </c>
      <c r="AI78" t="s">
        <v>84</v>
      </c>
      <c r="AJ78" t="s">
        <v>84</v>
      </c>
      <c r="AK78" t="s">
        <v>64</v>
      </c>
      <c r="AL78" t="s">
        <v>66</v>
      </c>
      <c r="AM78" t="s">
        <v>193</v>
      </c>
    </row>
    <row r="79" spans="1:39">
      <c r="A79">
        <v>86</v>
      </c>
      <c r="B79" s="1">
        <v>46120.692638888897</v>
      </c>
      <c r="C79" s="1">
        <v>46120.695324074099</v>
      </c>
      <c r="D79" t="s">
        <v>39</v>
      </c>
      <c r="F79" s="1"/>
      <c r="G79" t="s">
        <v>98</v>
      </c>
      <c r="H79" t="s">
        <v>86</v>
      </c>
      <c r="I79" t="s">
        <v>295</v>
      </c>
      <c r="J79" t="s">
        <v>68</v>
      </c>
      <c r="K79" t="s">
        <v>198</v>
      </c>
      <c r="L79" s="2" t="s">
        <v>296</v>
      </c>
      <c r="M79" s="2" t="s">
        <v>147</v>
      </c>
      <c r="N79" t="s">
        <v>89</v>
      </c>
      <c r="O79" t="s">
        <v>135</v>
      </c>
      <c r="P79" t="s">
        <v>49</v>
      </c>
      <c r="Q79" t="s">
        <v>50</v>
      </c>
      <c r="R79" t="s">
        <v>50</v>
      </c>
      <c r="S79" s="2">
        <v>5</v>
      </c>
      <c r="T79" t="s">
        <v>51</v>
      </c>
      <c r="U79" t="s">
        <v>75</v>
      </c>
      <c r="V79" t="s">
        <v>103</v>
      </c>
      <c r="W79" t="s">
        <v>105</v>
      </c>
      <c r="X79" t="s">
        <v>297</v>
      </c>
      <c r="Y79" t="s">
        <v>78</v>
      </c>
      <c r="Z79" t="s">
        <v>56</v>
      </c>
      <c r="AA79" t="s">
        <v>79</v>
      </c>
      <c r="AB79" s="2">
        <v>5</v>
      </c>
      <c r="AC79" t="s">
        <v>113</v>
      </c>
      <c r="AD79" t="s">
        <v>128</v>
      </c>
      <c r="AE79" t="s">
        <v>62</v>
      </c>
      <c r="AF79" t="s">
        <v>63</v>
      </c>
      <c r="AG79" t="s">
        <v>83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  <c r="AM79" t="s">
        <v>84</v>
      </c>
    </row>
    <row r="80" spans="1:39">
      <c r="A80">
        <v>87</v>
      </c>
      <c r="B80" s="1">
        <v>46120.692708333299</v>
      </c>
      <c r="C80" s="1">
        <v>46120.695833333302</v>
      </c>
      <c r="D80" t="s">
        <v>39</v>
      </c>
      <c r="F80" s="1"/>
      <c r="G80" t="s">
        <v>98</v>
      </c>
      <c r="H80" t="s">
        <v>41</v>
      </c>
      <c r="I80" t="s">
        <v>298</v>
      </c>
      <c r="J80" t="s">
        <v>43</v>
      </c>
      <c r="K80" t="s">
        <v>198</v>
      </c>
      <c r="L80" s="2" t="s">
        <v>199</v>
      </c>
      <c r="M80" s="2" t="s">
        <v>163</v>
      </c>
      <c r="N80" t="s">
        <v>189</v>
      </c>
      <c r="O80" t="s">
        <v>135</v>
      </c>
      <c r="P80" t="s">
        <v>49</v>
      </c>
      <c r="Q80" t="s">
        <v>50</v>
      </c>
      <c r="R80" t="s">
        <v>63</v>
      </c>
      <c r="S80" s="2">
        <v>4</v>
      </c>
      <c r="T80" t="s">
        <v>74</v>
      </c>
      <c r="U80" t="s">
        <v>92</v>
      </c>
      <c r="V80" t="s">
        <v>93</v>
      </c>
      <c r="W80" t="s">
        <v>105</v>
      </c>
      <c r="X80" t="s">
        <v>299</v>
      </c>
      <c r="Y80" t="s">
        <v>78</v>
      </c>
      <c r="Z80" t="s">
        <v>56</v>
      </c>
      <c r="AA80" t="s">
        <v>79</v>
      </c>
      <c r="AB80" s="2">
        <v>4</v>
      </c>
      <c r="AC80" t="s">
        <v>96</v>
      </c>
      <c r="AD80" t="s">
        <v>128</v>
      </c>
      <c r="AE80" t="s">
        <v>62</v>
      </c>
      <c r="AF80" t="s">
        <v>63</v>
      </c>
      <c r="AG80" t="s">
        <v>128</v>
      </c>
      <c r="AH80" t="s">
        <v>84</v>
      </c>
      <c r="AI80" t="s">
        <v>64</v>
      </c>
      <c r="AJ80" t="s">
        <v>65</v>
      </c>
      <c r="AK80" t="s">
        <v>64</v>
      </c>
      <c r="AL80" t="s">
        <v>65</v>
      </c>
      <c r="AM80" t="s">
        <v>64</v>
      </c>
    </row>
    <row r="81" spans="1:39">
      <c r="A81">
        <v>88</v>
      </c>
      <c r="B81" s="1">
        <v>46120.695092592599</v>
      </c>
      <c r="C81" s="1">
        <v>46120.697083333303</v>
      </c>
      <c r="D81" t="s">
        <v>39</v>
      </c>
      <c r="F81" s="1"/>
      <c r="G81" t="s">
        <v>98</v>
      </c>
      <c r="H81" t="s">
        <v>41</v>
      </c>
      <c r="I81" t="s">
        <v>300</v>
      </c>
      <c r="J81" t="s">
        <v>68</v>
      </c>
      <c r="K81" t="s">
        <v>69</v>
      </c>
      <c r="L81" s="2" t="s">
        <v>301</v>
      </c>
      <c r="M81" s="2" t="s">
        <v>71</v>
      </c>
      <c r="N81" t="s">
        <v>47</v>
      </c>
      <c r="O81" t="s">
        <v>73</v>
      </c>
      <c r="P81" t="s">
        <v>49</v>
      </c>
      <c r="Q81" t="s">
        <v>103</v>
      </c>
      <c r="R81" t="s">
        <v>50</v>
      </c>
      <c r="S81" s="2">
        <v>4</v>
      </c>
      <c r="T81" t="s">
        <v>74</v>
      </c>
      <c r="U81" t="s">
        <v>75</v>
      </c>
      <c r="V81" t="s">
        <v>53</v>
      </c>
      <c r="W81" t="s">
        <v>76</v>
      </c>
      <c r="X81" t="s">
        <v>302</v>
      </c>
      <c r="Y81" t="s">
        <v>56</v>
      </c>
      <c r="Z81" t="s">
        <v>56</v>
      </c>
      <c r="AA81" t="s">
        <v>95</v>
      </c>
      <c r="AB81" s="2">
        <v>4</v>
      </c>
      <c r="AC81" t="s">
        <v>113</v>
      </c>
      <c r="AD81" t="s">
        <v>61</v>
      </c>
      <c r="AE81" t="s">
        <v>62</v>
      </c>
      <c r="AF81" t="s">
        <v>50</v>
      </c>
      <c r="AG81" t="s">
        <v>61</v>
      </c>
      <c r="AH81" t="s">
        <v>64</v>
      </c>
      <c r="AI81" t="s">
        <v>65</v>
      </c>
      <c r="AJ81" t="s">
        <v>64</v>
      </c>
      <c r="AK81" t="s">
        <v>64</v>
      </c>
      <c r="AL81" t="s">
        <v>64</v>
      </c>
      <c r="AM81" t="s">
        <v>65</v>
      </c>
    </row>
    <row r="82" spans="1:39">
      <c r="A82">
        <v>89</v>
      </c>
      <c r="B82" s="1">
        <v>46120.695474537002</v>
      </c>
      <c r="C82" s="1">
        <v>46120.697222222203</v>
      </c>
      <c r="D82" t="s">
        <v>39</v>
      </c>
      <c r="F82" s="1"/>
      <c r="G82" t="s">
        <v>40</v>
      </c>
      <c r="H82" t="s">
        <v>86</v>
      </c>
      <c r="I82" t="s">
        <v>303</v>
      </c>
      <c r="J82" t="s">
        <v>68</v>
      </c>
      <c r="K82" t="s">
        <v>69</v>
      </c>
      <c r="L82" s="2" t="s">
        <v>224</v>
      </c>
      <c r="M82" s="2" t="s">
        <v>163</v>
      </c>
      <c r="N82" t="s">
        <v>189</v>
      </c>
      <c r="O82" t="s">
        <v>73</v>
      </c>
      <c r="P82" t="s">
        <v>49</v>
      </c>
      <c r="Q82" t="s">
        <v>93</v>
      </c>
      <c r="R82" t="s">
        <v>53</v>
      </c>
      <c r="S82" s="2">
        <v>7</v>
      </c>
      <c r="T82" t="s">
        <v>51</v>
      </c>
      <c r="U82" t="s">
        <v>92</v>
      </c>
      <c r="V82" t="s">
        <v>103</v>
      </c>
      <c r="W82" t="s">
        <v>122</v>
      </c>
      <c r="X82" t="s">
        <v>216</v>
      </c>
      <c r="Y82" t="s">
        <v>78</v>
      </c>
      <c r="Z82" t="s">
        <v>56</v>
      </c>
      <c r="AA82" t="s">
        <v>58</v>
      </c>
      <c r="AB82" s="2">
        <v>4</v>
      </c>
      <c r="AC82" t="s">
        <v>96</v>
      </c>
      <c r="AD82" t="s">
        <v>61</v>
      </c>
      <c r="AE82" t="s">
        <v>173</v>
      </c>
      <c r="AF82" t="s">
        <v>63</v>
      </c>
      <c r="AG82" t="s">
        <v>83</v>
      </c>
      <c r="AH82" t="s">
        <v>64</v>
      </c>
      <c r="AI82" t="s">
        <v>64</v>
      </c>
      <c r="AJ82" t="s">
        <v>64</v>
      </c>
      <c r="AK82" t="s">
        <v>84</v>
      </c>
      <c r="AL82" t="s">
        <v>84</v>
      </c>
      <c r="AM82" t="s">
        <v>64</v>
      </c>
    </row>
    <row r="83" spans="1:39">
      <c r="A83">
        <v>90</v>
      </c>
      <c r="B83" s="1">
        <v>46120.696516203701</v>
      </c>
      <c r="C83" s="1">
        <v>46120.699039351799</v>
      </c>
      <c r="D83" t="s">
        <v>39</v>
      </c>
      <c r="F83" s="1"/>
      <c r="G83" t="s">
        <v>85</v>
      </c>
      <c r="H83" t="s">
        <v>41</v>
      </c>
      <c r="I83" t="s">
        <v>304</v>
      </c>
      <c r="J83" t="s">
        <v>68</v>
      </c>
      <c r="K83" t="s">
        <v>198</v>
      </c>
      <c r="L83" s="2" t="s">
        <v>45</v>
      </c>
      <c r="M83" s="2" t="s">
        <v>115</v>
      </c>
      <c r="N83" t="s">
        <v>72</v>
      </c>
      <c r="O83" t="s">
        <v>135</v>
      </c>
      <c r="P83" t="s">
        <v>49</v>
      </c>
      <c r="Q83" t="s">
        <v>53</v>
      </c>
      <c r="R83" t="s">
        <v>50</v>
      </c>
      <c r="S83" s="2">
        <v>7</v>
      </c>
      <c r="T83" t="s">
        <v>91</v>
      </c>
      <c r="U83" t="s">
        <v>92</v>
      </c>
      <c r="V83" t="s">
        <v>53</v>
      </c>
      <c r="W83" t="s">
        <v>54</v>
      </c>
      <c r="X83" t="s">
        <v>305</v>
      </c>
      <c r="Y83" t="s">
        <v>56</v>
      </c>
      <c r="Z83" t="s">
        <v>78</v>
      </c>
      <c r="AA83" t="s">
        <v>95</v>
      </c>
      <c r="AB83" s="2">
        <v>5</v>
      </c>
      <c r="AC83" t="s">
        <v>113</v>
      </c>
      <c r="AD83" t="s">
        <v>82</v>
      </c>
      <c r="AE83" t="s">
        <v>97</v>
      </c>
      <c r="AF83" t="s">
        <v>53</v>
      </c>
      <c r="AG83" t="s">
        <v>83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  <c r="AM83" t="s">
        <v>84</v>
      </c>
    </row>
    <row r="84" spans="1:39">
      <c r="A84">
        <v>91</v>
      </c>
      <c r="B84" s="1">
        <v>46120.698981481502</v>
      </c>
      <c r="C84" s="1">
        <v>46120.700925925899</v>
      </c>
      <c r="D84" t="s">
        <v>39</v>
      </c>
      <c r="F84" s="1"/>
      <c r="G84" t="s">
        <v>124</v>
      </c>
      <c r="H84" t="s">
        <v>306</v>
      </c>
      <c r="I84" t="s">
        <v>307</v>
      </c>
      <c r="J84" t="s">
        <v>43</v>
      </c>
      <c r="K84" t="s">
        <v>101</v>
      </c>
      <c r="L84" s="2" t="s">
        <v>45</v>
      </c>
      <c r="M84" s="2" t="s">
        <v>46</v>
      </c>
      <c r="N84" t="s">
        <v>72</v>
      </c>
      <c r="O84" t="s">
        <v>135</v>
      </c>
      <c r="P84" t="s">
        <v>49</v>
      </c>
      <c r="Q84" t="s">
        <v>53</v>
      </c>
      <c r="R84" t="s">
        <v>53</v>
      </c>
      <c r="S84" s="2">
        <v>2</v>
      </c>
      <c r="T84" t="s">
        <v>91</v>
      </c>
      <c r="U84" t="s">
        <v>75</v>
      </c>
      <c r="V84" t="s">
        <v>53</v>
      </c>
      <c r="W84" t="s">
        <v>105</v>
      </c>
      <c r="X84" t="s">
        <v>183</v>
      </c>
      <c r="Y84" t="s">
        <v>56</v>
      </c>
      <c r="Z84" t="s">
        <v>78</v>
      </c>
      <c r="AA84" t="s">
        <v>58</v>
      </c>
      <c r="AB84" s="2">
        <v>5</v>
      </c>
      <c r="AC84" t="s">
        <v>113</v>
      </c>
      <c r="AD84" t="s">
        <v>178</v>
      </c>
      <c r="AE84" t="s">
        <v>173</v>
      </c>
      <c r="AF84" t="s">
        <v>103</v>
      </c>
      <c r="AG84" t="s">
        <v>83</v>
      </c>
      <c r="AH84" t="s">
        <v>64</v>
      </c>
      <c r="AI84" t="s">
        <v>66</v>
      </c>
      <c r="AJ84" t="s">
        <v>65</v>
      </c>
      <c r="AK84" t="s">
        <v>64</v>
      </c>
      <c r="AL84" t="s">
        <v>64</v>
      </c>
      <c r="AM84" t="s">
        <v>64</v>
      </c>
    </row>
    <row r="85" spans="1:39">
      <c r="A85">
        <v>92</v>
      </c>
      <c r="B85" s="1">
        <v>46120.699479166702</v>
      </c>
      <c r="C85" s="1">
        <v>46120.700937499998</v>
      </c>
      <c r="D85" t="s">
        <v>39</v>
      </c>
      <c r="F85" s="1"/>
      <c r="G85" t="s">
        <v>272</v>
      </c>
      <c r="H85" t="s">
        <v>86</v>
      </c>
      <c r="I85" t="s">
        <v>303</v>
      </c>
      <c r="J85" t="s">
        <v>43</v>
      </c>
      <c r="K85" t="s">
        <v>69</v>
      </c>
      <c r="L85" s="2" t="s">
        <v>175</v>
      </c>
      <c r="M85" s="2" t="s">
        <v>308</v>
      </c>
      <c r="N85" t="s">
        <v>47</v>
      </c>
      <c r="O85" t="s">
        <v>73</v>
      </c>
      <c r="P85" t="s">
        <v>49</v>
      </c>
      <c r="Q85" t="s">
        <v>50</v>
      </c>
      <c r="R85" t="s">
        <v>63</v>
      </c>
      <c r="S85" s="2">
        <v>7</v>
      </c>
      <c r="T85" t="s">
        <v>104</v>
      </c>
      <c r="U85" t="s">
        <v>92</v>
      </c>
      <c r="V85" t="s">
        <v>63</v>
      </c>
      <c r="W85" t="s">
        <v>76</v>
      </c>
      <c r="X85" t="s">
        <v>171</v>
      </c>
      <c r="Y85" t="s">
        <v>57</v>
      </c>
      <c r="Z85" t="s">
        <v>56</v>
      </c>
      <c r="AA85" t="s">
        <v>95</v>
      </c>
      <c r="AB85" s="2">
        <v>5</v>
      </c>
      <c r="AC85" t="s">
        <v>113</v>
      </c>
      <c r="AD85" t="s">
        <v>128</v>
      </c>
      <c r="AE85" t="s">
        <v>62</v>
      </c>
      <c r="AF85" t="s">
        <v>53</v>
      </c>
      <c r="AG85" t="s">
        <v>83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</row>
    <row r="86" spans="1:39">
      <c r="A86">
        <v>93</v>
      </c>
      <c r="B86" s="1">
        <v>46120.699421296304</v>
      </c>
      <c r="C86" s="1">
        <v>46120.701423611099</v>
      </c>
      <c r="D86" t="s">
        <v>39</v>
      </c>
      <c r="F86" s="1"/>
      <c r="G86" t="s">
        <v>98</v>
      </c>
      <c r="H86" t="s">
        <v>309</v>
      </c>
      <c r="I86" t="s">
        <v>310</v>
      </c>
      <c r="J86" t="s">
        <v>43</v>
      </c>
      <c r="K86" t="s">
        <v>69</v>
      </c>
      <c r="L86" s="2" t="s">
        <v>199</v>
      </c>
      <c r="M86" s="2" t="s">
        <v>46</v>
      </c>
      <c r="N86" t="s">
        <v>72</v>
      </c>
      <c r="O86" t="s">
        <v>135</v>
      </c>
      <c r="P86" t="s">
        <v>167</v>
      </c>
      <c r="Q86" t="s">
        <v>53</v>
      </c>
      <c r="R86" t="s">
        <v>53</v>
      </c>
      <c r="S86" s="2">
        <v>4</v>
      </c>
      <c r="T86" t="s">
        <v>74</v>
      </c>
      <c r="U86" t="s">
        <v>121</v>
      </c>
      <c r="V86" t="s">
        <v>53</v>
      </c>
      <c r="W86" t="s">
        <v>105</v>
      </c>
      <c r="X86" t="s">
        <v>311</v>
      </c>
      <c r="Y86" t="s">
        <v>57</v>
      </c>
      <c r="Z86" t="s">
        <v>56</v>
      </c>
      <c r="AA86" t="s">
        <v>112</v>
      </c>
      <c r="AB86" s="2">
        <v>5</v>
      </c>
      <c r="AC86" t="s">
        <v>113</v>
      </c>
      <c r="AD86" t="s">
        <v>82</v>
      </c>
      <c r="AE86" t="s">
        <v>107</v>
      </c>
      <c r="AF86" t="s">
        <v>103</v>
      </c>
      <c r="AG86" t="s">
        <v>83</v>
      </c>
      <c r="AH86" t="s">
        <v>84</v>
      </c>
      <c r="AI86" t="s">
        <v>64</v>
      </c>
      <c r="AJ86" t="s">
        <v>66</v>
      </c>
      <c r="AK86" t="s">
        <v>65</v>
      </c>
      <c r="AL86" t="s">
        <v>84</v>
      </c>
      <c r="AM86" t="s">
        <v>84</v>
      </c>
    </row>
    <row r="87" spans="1:39">
      <c r="A87">
        <v>94</v>
      </c>
      <c r="B87" s="1">
        <v>46120.700150463003</v>
      </c>
      <c r="C87" s="1">
        <v>46120.7026273148</v>
      </c>
      <c r="D87" t="s">
        <v>39</v>
      </c>
      <c r="F87" s="1"/>
      <c r="G87" t="s">
        <v>124</v>
      </c>
      <c r="H87" t="s">
        <v>41</v>
      </c>
      <c r="I87" t="s">
        <v>145</v>
      </c>
      <c r="J87" t="s">
        <v>68</v>
      </c>
      <c r="K87" t="s">
        <v>101</v>
      </c>
      <c r="L87" s="2" t="s">
        <v>312</v>
      </c>
      <c r="M87" s="2" t="s">
        <v>46</v>
      </c>
      <c r="N87" t="s">
        <v>189</v>
      </c>
      <c r="O87" t="s">
        <v>135</v>
      </c>
      <c r="P87" t="s">
        <v>148</v>
      </c>
      <c r="Q87" t="s">
        <v>63</v>
      </c>
      <c r="R87" t="s">
        <v>50</v>
      </c>
      <c r="S87" s="2">
        <v>4</v>
      </c>
      <c r="T87" t="s">
        <v>91</v>
      </c>
      <c r="U87" t="s">
        <v>121</v>
      </c>
      <c r="V87" t="s">
        <v>53</v>
      </c>
      <c r="W87" t="s">
        <v>116</v>
      </c>
      <c r="X87" t="s">
        <v>313</v>
      </c>
      <c r="Y87" t="s">
        <v>56</v>
      </c>
      <c r="Z87" t="s">
        <v>78</v>
      </c>
      <c r="AA87" t="s">
        <v>58</v>
      </c>
      <c r="AB87" s="2">
        <v>5</v>
      </c>
      <c r="AC87" t="s">
        <v>113</v>
      </c>
      <c r="AD87" t="s">
        <v>82</v>
      </c>
      <c r="AE87" t="s">
        <v>314</v>
      </c>
      <c r="AF87" t="s">
        <v>63</v>
      </c>
      <c r="AG87" t="s">
        <v>83</v>
      </c>
      <c r="AH87" t="s">
        <v>64</v>
      </c>
      <c r="AI87" t="s">
        <v>84</v>
      </c>
      <c r="AJ87" t="s">
        <v>84</v>
      </c>
      <c r="AK87" t="s">
        <v>84</v>
      </c>
      <c r="AL87" t="s">
        <v>84</v>
      </c>
      <c r="AM87" t="s">
        <v>84</v>
      </c>
    </row>
    <row r="88" spans="1:39">
      <c r="A88">
        <v>95</v>
      </c>
      <c r="B88" s="1">
        <v>46120.700324074103</v>
      </c>
      <c r="C88" s="1">
        <v>46120.703344907401</v>
      </c>
      <c r="D88" t="s">
        <v>39</v>
      </c>
      <c r="F88" s="1"/>
      <c r="G88" t="s">
        <v>272</v>
      </c>
      <c r="H88" t="s">
        <v>315</v>
      </c>
      <c r="I88" t="s">
        <v>316</v>
      </c>
      <c r="J88" t="s">
        <v>43</v>
      </c>
      <c r="K88" t="s">
        <v>101</v>
      </c>
      <c r="L88" s="2" t="s">
        <v>70</v>
      </c>
      <c r="M88" s="2" t="s">
        <v>102</v>
      </c>
      <c r="N88" t="s">
        <v>189</v>
      </c>
      <c r="O88" t="s">
        <v>135</v>
      </c>
      <c r="P88" t="s">
        <v>148</v>
      </c>
      <c r="Q88" t="s">
        <v>63</v>
      </c>
      <c r="R88" t="s">
        <v>53</v>
      </c>
      <c r="S88" s="2">
        <v>3</v>
      </c>
      <c r="T88" t="s">
        <v>51</v>
      </c>
      <c r="U88" t="s">
        <v>121</v>
      </c>
      <c r="V88" t="s">
        <v>50</v>
      </c>
      <c r="W88" t="s">
        <v>105</v>
      </c>
      <c r="X88" t="s">
        <v>317</v>
      </c>
      <c r="Y88" t="s">
        <v>78</v>
      </c>
      <c r="Z88" t="s">
        <v>78</v>
      </c>
      <c r="AA88" t="s">
        <v>95</v>
      </c>
      <c r="AB88" s="2">
        <v>5</v>
      </c>
      <c r="AC88" t="s">
        <v>113</v>
      </c>
      <c r="AD88" t="s">
        <v>82</v>
      </c>
      <c r="AE88" t="s">
        <v>165</v>
      </c>
      <c r="AF88" t="s">
        <v>63</v>
      </c>
      <c r="AG88" t="s">
        <v>83</v>
      </c>
      <c r="AH88" t="s">
        <v>64</v>
      </c>
      <c r="AI88" t="s">
        <v>64</v>
      </c>
      <c r="AJ88" t="s">
        <v>64</v>
      </c>
      <c r="AK88" t="s">
        <v>64</v>
      </c>
      <c r="AL88" t="s">
        <v>65</v>
      </c>
      <c r="AM88" t="s">
        <v>64</v>
      </c>
    </row>
    <row r="89" spans="1:39">
      <c r="A89">
        <v>96</v>
      </c>
      <c r="B89" s="1">
        <v>46120.700289351902</v>
      </c>
      <c r="C89" s="1">
        <v>46120.703495370399</v>
      </c>
      <c r="D89" t="s">
        <v>39</v>
      </c>
      <c r="F89" s="1"/>
      <c r="G89" t="s">
        <v>98</v>
      </c>
      <c r="H89" t="s">
        <v>318</v>
      </c>
      <c r="I89" t="s">
        <v>319</v>
      </c>
      <c r="J89" t="s">
        <v>43</v>
      </c>
      <c r="K89" t="s">
        <v>101</v>
      </c>
      <c r="L89" s="2" t="s">
        <v>70</v>
      </c>
      <c r="M89" s="2" t="s">
        <v>102</v>
      </c>
      <c r="N89" t="s">
        <v>47</v>
      </c>
      <c r="O89" t="s">
        <v>135</v>
      </c>
      <c r="P89" t="s">
        <v>148</v>
      </c>
      <c r="Q89" t="s">
        <v>53</v>
      </c>
      <c r="R89" t="s">
        <v>50</v>
      </c>
      <c r="S89" s="2">
        <v>4</v>
      </c>
      <c r="T89" t="s">
        <v>74</v>
      </c>
      <c r="U89" t="s">
        <v>92</v>
      </c>
      <c r="V89" t="s">
        <v>103</v>
      </c>
      <c r="W89" t="s">
        <v>116</v>
      </c>
      <c r="X89" t="s">
        <v>320</v>
      </c>
      <c r="Y89" t="s">
        <v>56</v>
      </c>
      <c r="Z89" t="s">
        <v>78</v>
      </c>
      <c r="AA89" t="s">
        <v>201</v>
      </c>
      <c r="AB89" s="2">
        <v>4</v>
      </c>
      <c r="AC89" t="s">
        <v>113</v>
      </c>
      <c r="AD89" t="s">
        <v>61</v>
      </c>
      <c r="AE89" t="s">
        <v>165</v>
      </c>
      <c r="AF89" t="s">
        <v>63</v>
      </c>
      <c r="AG89" t="s">
        <v>61</v>
      </c>
      <c r="AH89" t="s">
        <v>65</v>
      </c>
      <c r="AI89" t="s">
        <v>64</v>
      </c>
      <c r="AJ89" t="s">
        <v>65</v>
      </c>
      <c r="AK89" t="s">
        <v>65</v>
      </c>
      <c r="AL89" t="s">
        <v>65</v>
      </c>
      <c r="AM89" t="s">
        <v>65</v>
      </c>
    </row>
    <row r="90" spans="1:39">
      <c r="A90">
        <v>97</v>
      </c>
      <c r="B90" s="1">
        <v>46120.7019097222</v>
      </c>
      <c r="C90" s="1">
        <v>46120.703831018502</v>
      </c>
      <c r="D90" t="s">
        <v>39</v>
      </c>
      <c r="F90" s="1"/>
      <c r="G90" t="s">
        <v>85</v>
      </c>
      <c r="H90" t="s">
        <v>86</v>
      </c>
      <c r="I90" t="s">
        <v>321</v>
      </c>
      <c r="J90" t="s">
        <v>68</v>
      </c>
      <c r="K90" t="s">
        <v>69</v>
      </c>
      <c r="L90" s="2" t="s">
        <v>59</v>
      </c>
      <c r="M90" s="2" t="s">
        <v>147</v>
      </c>
      <c r="N90" t="s">
        <v>89</v>
      </c>
      <c r="O90" t="s">
        <v>135</v>
      </c>
      <c r="P90" t="s">
        <v>167</v>
      </c>
      <c r="Q90" t="s">
        <v>63</v>
      </c>
      <c r="R90" t="s">
        <v>50</v>
      </c>
      <c r="S90" s="2">
        <v>5</v>
      </c>
      <c r="T90" t="s">
        <v>51</v>
      </c>
      <c r="U90" t="s">
        <v>92</v>
      </c>
      <c r="V90" t="s">
        <v>63</v>
      </c>
      <c r="W90" t="s">
        <v>116</v>
      </c>
      <c r="X90" t="s">
        <v>322</v>
      </c>
      <c r="Y90" t="s">
        <v>78</v>
      </c>
      <c r="Z90" t="s">
        <v>78</v>
      </c>
      <c r="AA90" t="s">
        <v>95</v>
      </c>
      <c r="AB90" s="2">
        <v>5</v>
      </c>
      <c r="AC90" t="s">
        <v>113</v>
      </c>
      <c r="AD90" t="s">
        <v>279</v>
      </c>
      <c r="AE90" t="s">
        <v>173</v>
      </c>
      <c r="AF90" t="s">
        <v>50</v>
      </c>
      <c r="AG90" t="s">
        <v>178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  <c r="AM90" t="s">
        <v>84</v>
      </c>
    </row>
    <row r="91" spans="1:39">
      <c r="A91">
        <v>98</v>
      </c>
      <c r="B91" s="1">
        <v>46120.701724537001</v>
      </c>
      <c r="C91" s="1">
        <v>46120.707384259302</v>
      </c>
      <c r="D91" t="s">
        <v>39</v>
      </c>
      <c r="F91" s="1"/>
      <c r="G91" t="s">
        <v>272</v>
      </c>
      <c r="H91" t="s">
        <v>41</v>
      </c>
      <c r="I91" t="s">
        <v>323</v>
      </c>
      <c r="J91" t="s">
        <v>43</v>
      </c>
      <c r="K91" t="s">
        <v>239</v>
      </c>
      <c r="L91" s="2" t="s">
        <v>324</v>
      </c>
      <c r="M91" s="2" t="s">
        <v>59</v>
      </c>
      <c r="N91" t="s">
        <v>110</v>
      </c>
      <c r="O91" t="s">
        <v>243</v>
      </c>
      <c r="P91" t="s">
        <v>49</v>
      </c>
      <c r="Q91" t="s">
        <v>93</v>
      </c>
      <c r="R91" t="s">
        <v>63</v>
      </c>
      <c r="S91" s="2">
        <v>0.3</v>
      </c>
      <c r="T91" t="s">
        <v>104</v>
      </c>
      <c r="U91" t="s">
        <v>52</v>
      </c>
      <c r="V91" t="s">
        <v>63</v>
      </c>
      <c r="W91" t="s">
        <v>105</v>
      </c>
      <c r="X91" t="s">
        <v>325</v>
      </c>
      <c r="Y91" t="s">
        <v>57</v>
      </c>
      <c r="Z91" t="s">
        <v>57</v>
      </c>
      <c r="AA91" t="s">
        <v>95</v>
      </c>
      <c r="AB91" s="2">
        <v>1</v>
      </c>
      <c r="AC91" t="s">
        <v>202</v>
      </c>
      <c r="AD91" t="s">
        <v>128</v>
      </c>
      <c r="AE91" t="s">
        <v>326</v>
      </c>
      <c r="AF91" t="s">
        <v>93</v>
      </c>
      <c r="AG91" t="s">
        <v>128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  <c r="AM91" t="s">
        <v>84</v>
      </c>
    </row>
    <row r="92" spans="1:39" s="4" customFormat="1">
      <c r="A92" s="4">
        <v>99</v>
      </c>
      <c r="B92" s="5">
        <v>46120.742268518501</v>
      </c>
      <c r="C92" s="5">
        <v>46120.745335648098</v>
      </c>
      <c r="D92" s="4" t="s">
        <v>39</v>
      </c>
      <c r="F92" s="5"/>
      <c r="G92" s="4" t="s">
        <v>40</v>
      </c>
      <c r="H92" s="4" t="s">
        <v>132</v>
      </c>
      <c r="I92" s="4" t="s">
        <v>129</v>
      </c>
      <c r="J92" s="4" t="s">
        <v>68</v>
      </c>
      <c r="K92" s="4" t="s">
        <v>69</v>
      </c>
      <c r="L92" s="6" t="s">
        <v>146</v>
      </c>
      <c r="M92" s="6" t="s">
        <v>71</v>
      </c>
      <c r="N92" s="4" t="s">
        <v>72</v>
      </c>
      <c r="O92" s="4" t="s">
        <v>73</v>
      </c>
      <c r="P92" s="4" t="s">
        <v>49</v>
      </c>
      <c r="Q92" s="4" t="s">
        <v>50</v>
      </c>
      <c r="R92" s="4" t="s">
        <v>50</v>
      </c>
      <c r="S92" s="6" t="s">
        <v>169</v>
      </c>
      <c r="T92" s="4" t="s">
        <v>51</v>
      </c>
      <c r="U92" s="4" t="s">
        <v>52</v>
      </c>
      <c r="V92" s="4" t="s">
        <v>103</v>
      </c>
      <c r="W92" s="4" t="s">
        <v>122</v>
      </c>
      <c r="X92" s="4" t="s">
        <v>77</v>
      </c>
      <c r="Y92" s="4" t="s">
        <v>56</v>
      </c>
      <c r="Z92" s="4" t="s">
        <v>56</v>
      </c>
      <c r="AA92" s="4" t="s">
        <v>58</v>
      </c>
      <c r="AB92" s="6" t="s">
        <v>142</v>
      </c>
      <c r="AC92" s="4" t="s">
        <v>60</v>
      </c>
      <c r="AD92" s="4" t="s">
        <v>61</v>
      </c>
      <c r="AE92" s="4" t="s">
        <v>118</v>
      </c>
      <c r="AF92" s="4" t="s">
        <v>50</v>
      </c>
      <c r="AG92" s="4" t="s">
        <v>61</v>
      </c>
      <c r="AH92" s="4" t="s">
        <v>193</v>
      </c>
      <c r="AI92" s="4" t="s">
        <v>65</v>
      </c>
      <c r="AJ92" s="4" t="s">
        <v>66</v>
      </c>
      <c r="AK92" s="4" t="s">
        <v>64</v>
      </c>
      <c r="AL92" s="4" t="s">
        <v>66</v>
      </c>
      <c r="AM92" s="4" t="s">
        <v>84</v>
      </c>
    </row>
    <row r="93" spans="1:39">
      <c r="A93">
        <v>100</v>
      </c>
      <c r="B93" s="1">
        <v>46120.862962963001</v>
      </c>
      <c r="C93" s="1">
        <v>46120.865196759303</v>
      </c>
      <c r="D93" t="s">
        <v>39</v>
      </c>
      <c r="F93" s="1"/>
      <c r="G93" t="s">
        <v>85</v>
      </c>
      <c r="H93" t="s">
        <v>86</v>
      </c>
      <c r="I93" t="s">
        <v>303</v>
      </c>
      <c r="J93" t="s">
        <v>43</v>
      </c>
      <c r="K93" t="s">
        <v>101</v>
      </c>
      <c r="L93" s="2" t="s">
        <v>327</v>
      </c>
      <c r="M93" s="2" t="s">
        <v>328</v>
      </c>
      <c r="N93" t="s">
        <v>72</v>
      </c>
      <c r="O93" t="s">
        <v>135</v>
      </c>
      <c r="P93" t="s">
        <v>148</v>
      </c>
      <c r="Q93" t="s">
        <v>63</v>
      </c>
      <c r="R93" t="s">
        <v>50</v>
      </c>
      <c r="S93" s="2" t="s">
        <v>258</v>
      </c>
      <c r="T93" t="s">
        <v>91</v>
      </c>
      <c r="U93" t="s">
        <v>121</v>
      </c>
      <c r="V93" t="s">
        <v>53</v>
      </c>
      <c r="W93" t="s">
        <v>105</v>
      </c>
      <c r="X93" t="s">
        <v>329</v>
      </c>
      <c r="Y93" t="s">
        <v>78</v>
      </c>
      <c r="Z93" t="s">
        <v>78</v>
      </c>
      <c r="AA93" t="s">
        <v>112</v>
      </c>
      <c r="AB93" s="2" t="s">
        <v>70</v>
      </c>
      <c r="AC93" t="s">
        <v>113</v>
      </c>
      <c r="AD93" t="s">
        <v>61</v>
      </c>
      <c r="AE93" t="s">
        <v>173</v>
      </c>
      <c r="AF93" t="s">
        <v>53</v>
      </c>
      <c r="AG93" t="s">
        <v>61</v>
      </c>
      <c r="AH93" t="s">
        <v>64</v>
      </c>
      <c r="AI93" t="s">
        <v>65</v>
      </c>
      <c r="AJ93" t="s">
        <v>65</v>
      </c>
      <c r="AK93" t="s">
        <v>64</v>
      </c>
      <c r="AL93" t="s">
        <v>64</v>
      </c>
      <c r="AM93" t="s">
        <v>65</v>
      </c>
    </row>
    <row r="94" spans="1:39">
      <c r="A94">
        <v>101</v>
      </c>
      <c r="B94" s="1">
        <v>46122.700752314799</v>
      </c>
      <c r="C94" s="1">
        <v>46122.708425925899</v>
      </c>
      <c r="D94" t="s">
        <v>39</v>
      </c>
      <c r="F94" s="1"/>
      <c r="G94" t="s">
        <v>40</v>
      </c>
      <c r="H94" t="s">
        <v>41</v>
      </c>
      <c r="I94" t="s">
        <v>330</v>
      </c>
      <c r="J94" t="s">
        <v>68</v>
      </c>
      <c r="K94" t="s">
        <v>69</v>
      </c>
      <c r="L94" s="2" t="s">
        <v>146</v>
      </c>
      <c r="M94" s="2" t="s">
        <v>71</v>
      </c>
      <c r="N94" t="s">
        <v>110</v>
      </c>
      <c r="O94" t="s">
        <v>73</v>
      </c>
      <c r="P94" t="s">
        <v>49</v>
      </c>
      <c r="Q94" t="s">
        <v>103</v>
      </c>
      <c r="R94" t="s">
        <v>53</v>
      </c>
      <c r="S94" s="2" t="s">
        <v>169</v>
      </c>
      <c r="T94" t="s">
        <v>74</v>
      </c>
      <c r="U94" t="s">
        <v>52</v>
      </c>
      <c r="V94" t="s">
        <v>93</v>
      </c>
      <c r="W94" t="s">
        <v>105</v>
      </c>
      <c r="X94" t="s">
        <v>331</v>
      </c>
      <c r="Y94" t="s">
        <v>57</v>
      </c>
      <c r="Z94" t="s">
        <v>78</v>
      </c>
      <c r="AA94" t="s">
        <v>291</v>
      </c>
      <c r="AB94" s="2" t="s">
        <v>80</v>
      </c>
      <c r="AC94" t="s">
        <v>113</v>
      </c>
      <c r="AD94" t="s">
        <v>61</v>
      </c>
      <c r="AE94" t="s">
        <v>118</v>
      </c>
      <c r="AF94" t="s">
        <v>53</v>
      </c>
      <c r="AG94" t="s">
        <v>178</v>
      </c>
      <c r="AH94" t="s">
        <v>66</v>
      </c>
      <c r="AI94" t="s">
        <v>65</v>
      </c>
      <c r="AJ94" t="s">
        <v>64</v>
      </c>
      <c r="AK94" t="s">
        <v>84</v>
      </c>
      <c r="AL94" t="s">
        <v>64</v>
      </c>
      <c r="AM94" t="s">
        <v>65</v>
      </c>
    </row>
    <row r="95" spans="1:39">
      <c r="A95">
        <v>102</v>
      </c>
      <c r="B95" s="1">
        <v>46134.893576388902</v>
      </c>
      <c r="C95" s="1">
        <v>46134.898784722202</v>
      </c>
      <c r="D95" t="s">
        <v>39</v>
      </c>
      <c r="F95" s="1"/>
      <c r="G95" t="s">
        <v>98</v>
      </c>
      <c r="H95" t="s">
        <v>41</v>
      </c>
      <c r="I95" t="s">
        <v>125</v>
      </c>
      <c r="J95" t="s">
        <v>68</v>
      </c>
      <c r="K95" t="s">
        <v>198</v>
      </c>
      <c r="L95" s="2" t="s">
        <v>332</v>
      </c>
      <c r="M95" s="2" t="s">
        <v>71</v>
      </c>
      <c r="N95" t="s">
        <v>89</v>
      </c>
      <c r="O95" t="s">
        <v>48</v>
      </c>
      <c r="P95" t="s">
        <v>49</v>
      </c>
      <c r="Q95" t="s">
        <v>50</v>
      </c>
      <c r="R95" t="s">
        <v>53</v>
      </c>
      <c r="S95" s="2" t="s">
        <v>80</v>
      </c>
      <c r="T95" t="s">
        <v>51</v>
      </c>
      <c r="U95" t="s">
        <v>121</v>
      </c>
      <c r="V95" t="s">
        <v>53</v>
      </c>
      <c r="W95" t="s">
        <v>122</v>
      </c>
      <c r="X95" t="s">
        <v>333</v>
      </c>
      <c r="Y95" t="s">
        <v>78</v>
      </c>
      <c r="Z95" t="s">
        <v>78</v>
      </c>
      <c r="AA95" t="s">
        <v>334</v>
      </c>
      <c r="AB95" s="2" t="s">
        <v>59</v>
      </c>
      <c r="AC95" t="s">
        <v>113</v>
      </c>
      <c r="AD95" t="s">
        <v>82</v>
      </c>
      <c r="AE95" t="s">
        <v>118</v>
      </c>
      <c r="AF95" t="s">
        <v>50</v>
      </c>
      <c r="AG95" t="s">
        <v>61</v>
      </c>
      <c r="AH95" t="s">
        <v>66</v>
      </c>
      <c r="AI95" t="s">
        <v>66</v>
      </c>
      <c r="AJ95" t="s">
        <v>64</v>
      </c>
      <c r="AK95" t="s">
        <v>64</v>
      </c>
      <c r="AL95" t="s">
        <v>65</v>
      </c>
      <c r="AM95" t="s">
        <v>65</v>
      </c>
    </row>
    <row r="96" spans="1:39">
      <c r="A96">
        <v>103</v>
      </c>
      <c r="B96" s="1">
        <v>46134.898831018501</v>
      </c>
      <c r="C96" s="1">
        <v>46134.902928240699</v>
      </c>
      <c r="D96" t="s">
        <v>39</v>
      </c>
      <c r="F96" s="1"/>
      <c r="G96" t="s">
        <v>124</v>
      </c>
      <c r="H96" t="s">
        <v>86</v>
      </c>
      <c r="I96" t="s">
        <v>276</v>
      </c>
      <c r="J96" t="s">
        <v>68</v>
      </c>
      <c r="K96" t="s">
        <v>69</v>
      </c>
      <c r="L96" s="2" t="s">
        <v>130</v>
      </c>
      <c r="M96" s="2" t="s">
        <v>102</v>
      </c>
      <c r="N96" t="s">
        <v>72</v>
      </c>
      <c r="O96" t="s">
        <v>48</v>
      </c>
      <c r="P96" t="s">
        <v>148</v>
      </c>
      <c r="Q96" t="s">
        <v>50</v>
      </c>
      <c r="R96" t="s">
        <v>103</v>
      </c>
      <c r="S96" s="2" t="s">
        <v>180</v>
      </c>
      <c r="T96" t="s">
        <v>104</v>
      </c>
      <c r="U96" t="s">
        <v>92</v>
      </c>
      <c r="V96" t="s">
        <v>50</v>
      </c>
      <c r="W96" t="s">
        <v>76</v>
      </c>
      <c r="X96" t="s">
        <v>335</v>
      </c>
      <c r="Y96" t="s">
        <v>56</v>
      </c>
      <c r="Z96" t="s">
        <v>78</v>
      </c>
      <c r="AA96" t="s">
        <v>58</v>
      </c>
      <c r="AB96" s="2" t="s">
        <v>70</v>
      </c>
      <c r="AC96" t="s">
        <v>113</v>
      </c>
      <c r="AD96" t="s">
        <v>82</v>
      </c>
      <c r="AE96" t="s">
        <v>107</v>
      </c>
      <c r="AF96" t="s">
        <v>50</v>
      </c>
      <c r="AG96" t="s">
        <v>83</v>
      </c>
      <c r="AH96" t="s">
        <v>64</v>
      </c>
      <c r="AI96" t="s">
        <v>64</v>
      </c>
      <c r="AJ96" t="s">
        <v>66</v>
      </c>
      <c r="AK96" t="s">
        <v>66</v>
      </c>
      <c r="AL96" t="s">
        <v>66</v>
      </c>
      <c r="AM96" t="s">
        <v>65</v>
      </c>
    </row>
    <row r="97" spans="1:39">
      <c r="A97">
        <v>104</v>
      </c>
      <c r="B97" s="1">
        <v>46138.613553240699</v>
      </c>
      <c r="C97" s="1">
        <v>46138.620358796303</v>
      </c>
      <c r="D97" t="s">
        <v>39</v>
      </c>
      <c r="F97" s="1"/>
      <c r="G97" t="s">
        <v>40</v>
      </c>
      <c r="H97" t="s">
        <v>132</v>
      </c>
      <c r="I97" t="s">
        <v>336</v>
      </c>
      <c r="J97" t="s">
        <v>68</v>
      </c>
      <c r="K97" t="s">
        <v>101</v>
      </c>
      <c r="L97" s="2" t="s">
        <v>120</v>
      </c>
      <c r="M97" s="2" t="s">
        <v>80</v>
      </c>
      <c r="N97" t="s">
        <v>47</v>
      </c>
      <c r="O97" t="s">
        <v>90</v>
      </c>
      <c r="P97" t="s">
        <v>49</v>
      </c>
      <c r="Q97" t="s">
        <v>103</v>
      </c>
      <c r="R97" t="s">
        <v>50</v>
      </c>
      <c r="S97" s="2" t="s">
        <v>142</v>
      </c>
      <c r="T97" t="s">
        <v>104</v>
      </c>
      <c r="U97" t="s">
        <v>92</v>
      </c>
      <c r="V97" t="s">
        <v>93</v>
      </c>
      <c r="W97" t="s">
        <v>76</v>
      </c>
      <c r="X97" t="s">
        <v>337</v>
      </c>
      <c r="Y97" t="s">
        <v>56</v>
      </c>
      <c r="Z97" t="s">
        <v>78</v>
      </c>
      <c r="AA97" t="s">
        <v>95</v>
      </c>
      <c r="AB97" s="2" t="s">
        <v>59</v>
      </c>
      <c r="AC97" t="s">
        <v>113</v>
      </c>
      <c r="AD97" t="s">
        <v>61</v>
      </c>
      <c r="AE97" t="s">
        <v>173</v>
      </c>
      <c r="AF97" t="s">
        <v>53</v>
      </c>
      <c r="AG97" t="s">
        <v>61</v>
      </c>
      <c r="AH97" t="s">
        <v>193</v>
      </c>
      <c r="AI97" t="s">
        <v>65</v>
      </c>
      <c r="AJ97" t="s">
        <v>64</v>
      </c>
      <c r="AK97" t="s">
        <v>84</v>
      </c>
      <c r="AL97" t="s">
        <v>193</v>
      </c>
      <c r="AM97" t="s">
        <v>64</v>
      </c>
    </row>
    <row r="98" spans="1:39">
      <c r="A98">
        <v>105</v>
      </c>
      <c r="B98" s="1">
        <v>46138.620474536998</v>
      </c>
      <c r="C98" s="1">
        <v>46138.623506944401</v>
      </c>
      <c r="D98" t="s">
        <v>39</v>
      </c>
      <c r="F98" s="1"/>
      <c r="G98" t="s">
        <v>85</v>
      </c>
      <c r="H98" t="s">
        <v>264</v>
      </c>
      <c r="I98" t="s">
        <v>338</v>
      </c>
      <c r="J98" t="s">
        <v>68</v>
      </c>
      <c r="K98" t="s">
        <v>198</v>
      </c>
      <c r="L98" s="2" t="s">
        <v>339</v>
      </c>
      <c r="M98" s="2" t="s">
        <v>147</v>
      </c>
      <c r="N98" t="s">
        <v>72</v>
      </c>
      <c r="O98" t="s">
        <v>135</v>
      </c>
      <c r="P98" t="s">
        <v>167</v>
      </c>
      <c r="Q98" t="s">
        <v>50</v>
      </c>
      <c r="R98" t="s">
        <v>63</v>
      </c>
      <c r="S98" s="2" t="s">
        <v>180</v>
      </c>
      <c r="T98" t="s">
        <v>74</v>
      </c>
      <c r="U98" t="s">
        <v>121</v>
      </c>
      <c r="V98" t="s">
        <v>50</v>
      </c>
      <c r="W98" t="s">
        <v>54</v>
      </c>
      <c r="X98" t="s">
        <v>340</v>
      </c>
      <c r="Y98" t="s">
        <v>57</v>
      </c>
      <c r="Z98" t="s">
        <v>78</v>
      </c>
      <c r="AA98" t="s">
        <v>112</v>
      </c>
      <c r="AB98" s="2" t="s">
        <v>59</v>
      </c>
      <c r="AC98" t="s">
        <v>202</v>
      </c>
      <c r="AD98" t="s">
        <v>82</v>
      </c>
      <c r="AE98" t="s">
        <v>97</v>
      </c>
      <c r="AF98" t="s">
        <v>93</v>
      </c>
      <c r="AG98" t="s">
        <v>279</v>
      </c>
      <c r="AH98" t="s">
        <v>66</v>
      </c>
      <c r="AI98" t="s">
        <v>193</v>
      </c>
      <c r="AJ98" t="s">
        <v>193</v>
      </c>
      <c r="AK98" t="s">
        <v>193</v>
      </c>
      <c r="AL98" t="s">
        <v>84</v>
      </c>
      <c r="AM98" t="s">
        <v>65</v>
      </c>
    </row>
    <row r="99" spans="1:39">
      <c r="A99">
        <v>106</v>
      </c>
      <c r="B99" s="1">
        <v>46138.623530092598</v>
      </c>
      <c r="C99" s="1">
        <v>46138.625034722201</v>
      </c>
      <c r="D99" t="s">
        <v>39</v>
      </c>
      <c r="F99" s="1"/>
      <c r="G99" t="s">
        <v>40</v>
      </c>
      <c r="H99" t="s">
        <v>132</v>
      </c>
      <c r="I99" t="s">
        <v>341</v>
      </c>
      <c r="J99" t="s">
        <v>43</v>
      </c>
      <c r="K99" t="s">
        <v>342</v>
      </c>
      <c r="L99" s="2" t="s">
        <v>59</v>
      </c>
      <c r="M99" s="2" t="s">
        <v>343</v>
      </c>
      <c r="N99" t="s">
        <v>189</v>
      </c>
      <c r="O99" t="s">
        <v>90</v>
      </c>
      <c r="P99" t="s">
        <v>138</v>
      </c>
      <c r="Q99" t="s">
        <v>103</v>
      </c>
      <c r="R99" t="s">
        <v>63</v>
      </c>
      <c r="S99" s="2" t="s">
        <v>163</v>
      </c>
      <c r="T99" t="s">
        <v>74</v>
      </c>
      <c r="U99" t="s">
        <v>52</v>
      </c>
      <c r="V99" t="s">
        <v>93</v>
      </c>
      <c r="W99" t="s">
        <v>54</v>
      </c>
      <c r="X99" t="s">
        <v>344</v>
      </c>
      <c r="Y99" t="s">
        <v>56</v>
      </c>
      <c r="Z99" t="s">
        <v>56</v>
      </c>
      <c r="AA99" t="s">
        <v>58</v>
      </c>
      <c r="AB99" s="2" t="s">
        <v>70</v>
      </c>
      <c r="AC99" t="s">
        <v>96</v>
      </c>
      <c r="AD99" t="s">
        <v>61</v>
      </c>
      <c r="AE99" t="s">
        <v>118</v>
      </c>
      <c r="AF99" t="s">
        <v>93</v>
      </c>
      <c r="AG99" t="s">
        <v>128</v>
      </c>
      <c r="AH99" t="s">
        <v>84</v>
      </c>
      <c r="AI99" t="s">
        <v>64</v>
      </c>
      <c r="AJ99" t="s">
        <v>84</v>
      </c>
      <c r="AK99" t="s">
        <v>64</v>
      </c>
      <c r="AL99" t="s">
        <v>84</v>
      </c>
      <c r="AM99" t="s">
        <v>66</v>
      </c>
    </row>
    <row r="100" spans="1:39">
      <c r="A100">
        <v>107</v>
      </c>
      <c r="B100" s="1">
        <v>46138.625057870398</v>
      </c>
      <c r="C100" s="1">
        <v>46138.6269791667</v>
      </c>
      <c r="D100" t="s">
        <v>39</v>
      </c>
      <c r="F100" s="1"/>
      <c r="G100" t="s">
        <v>272</v>
      </c>
      <c r="H100" t="s">
        <v>264</v>
      </c>
      <c r="I100" t="s">
        <v>338</v>
      </c>
      <c r="J100" t="s">
        <v>68</v>
      </c>
      <c r="K100" t="s">
        <v>44</v>
      </c>
      <c r="L100" s="2" t="s">
        <v>218</v>
      </c>
      <c r="M100" s="2" t="s">
        <v>308</v>
      </c>
      <c r="N100" t="s">
        <v>110</v>
      </c>
      <c r="O100" t="s">
        <v>73</v>
      </c>
      <c r="P100" t="s">
        <v>167</v>
      </c>
      <c r="Q100" t="s">
        <v>63</v>
      </c>
      <c r="R100" t="s">
        <v>93</v>
      </c>
      <c r="S100" s="2" t="s">
        <v>142</v>
      </c>
      <c r="T100" t="s">
        <v>74</v>
      </c>
      <c r="U100" t="s">
        <v>52</v>
      </c>
      <c r="V100" t="s">
        <v>50</v>
      </c>
      <c r="W100" t="s">
        <v>105</v>
      </c>
      <c r="X100" t="s">
        <v>345</v>
      </c>
      <c r="Y100" t="s">
        <v>57</v>
      </c>
      <c r="Z100" t="s">
        <v>57</v>
      </c>
      <c r="AA100" t="s">
        <v>151</v>
      </c>
      <c r="AB100" s="2" t="s">
        <v>80</v>
      </c>
      <c r="AC100" t="s">
        <v>113</v>
      </c>
      <c r="AD100" t="s">
        <v>61</v>
      </c>
      <c r="AE100" t="s">
        <v>62</v>
      </c>
      <c r="AF100" t="s">
        <v>103</v>
      </c>
      <c r="AG100" t="s">
        <v>128</v>
      </c>
      <c r="AH100" t="s">
        <v>193</v>
      </c>
      <c r="AI100" t="s">
        <v>66</v>
      </c>
      <c r="AJ100" t="s">
        <v>84</v>
      </c>
      <c r="AK100" t="s">
        <v>65</v>
      </c>
      <c r="AL100" t="s">
        <v>84</v>
      </c>
      <c r="AM100" t="s">
        <v>66</v>
      </c>
    </row>
    <row r="101" spans="1:39">
      <c r="A101">
        <v>108</v>
      </c>
      <c r="B101" s="1">
        <v>46138.626990740697</v>
      </c>
      <c r="C101" s="1">
        <v>46138.628275463001</v>
      </c>
      <c r="D101" t="s">
        <v>39</v>
      </c>
      <c r="F101" s="1"/>
      <c r="G101" t="s">
        <v>85</v>
      </c>
      <c r="H101" t="s">
        <v>318</v>
      </c>
      <c r="I101" t="s">
        <v>346</v>
      </c>
      <c r="J101" t="s">
        <v>43</v>
      </c>
      <c r="K101" t="s">
        <v>198</v>
      </c>
      <c r="L101" s="2" t="s">
        <v>45</v>
      </c>
      <c r="M101" s="2" t="s">
        <v>258</v>
      </c>
      <c r="N101" t="s">
        <v>189</v>
      </c>
      <c r="O101" t="s">
        <v>90</v>
      </c>
      <c r="P101" t="s">
        <v>49</v>
      </c>
      <c r="Q101" t="s">
        <v>53</v>
      </c>
      <c r="R101" t="s">
        <v>93</v>
      </c>
      <c r="S101" s="2" t="s">
        <v>163</v>
      </c>
      <c r="T101" t="s">
        <v>91</v>
      </c>
      <c r="U101" t="s">
        <v>75</v>
      </c>
      <c r="V101" t="s">
        <v>103</v>
      </c>
      <c r="W101" t="s">
        <v>116</v>
      </c>
      <c r="X101" t="s">
        <v>347</v>
      </c>
      <c r="Y101" t="s">
        <v>56</v>
      </c>
      <c r="Z101" t="s">
        <v>78</v>
      </c>
      <c r="AA101" t="s">
        <v>58</v>
      </c>
      <c r="AB101" s="2" t="s">
        <v>142</v>
      </c>
      <c r="AC101" t="s">
        <v>202</v>
      </c>
      <c r="AD101" t="s">
        <v>82</v>
      </c>
      <c r="AE101" t="s">
        <v>107</v>
      </c>
      <c r="AF101" t="s">
        <v>53</v>
      </c>
      <c r="AG101" t="s">
        <v>279</v>
      </c>
      <c r="AH101" t="s">
        <v>193</v>
      </c>
      <c r="AI101" t="s">
        <v>193</v>
      </c>
      <c r="AJ101" t="s">
        <v>193</v>
      </c>
      <c r="AK101" t="s">
        <v>84</v>
      </c>
      <c r="AL101" t="s">
        <v>66</v>
      </c>
      <c r="AM101" t="s">
        <v>64</v>
      </c>
    </row>
    <row r="102" spans="1:39">
      <c r="A102">
        <v>109</v>
      </c>
      <c r="B102" s="1">
        <v>46138.628287036998</v>
      </c>
      <c r="C102" s="1">
        <v>46138.631712962997</v>
      </c>
      <c r="D102" t="s">
        <v>39</v>
      </c>
      <c r="F102" s="1"/>
      <c r="G102" t="s">
        <v>124</v>
      </c>
      <c r="H102" t="s">
        <v>315</v>
      </c>
      <c r="I102" t="s">
        <v>348</v>
      </c>
      <c r="J102" t="s">
        <v>68</v>
      </c>
      <c r="K102" t="s">
        <v>349</v>
      </c>
      <c r="L102" s="2" t="s">
        <v>59</v>
      </c>
      <c r="M102" s="2" t="s">
        <v>80</v>
      </c>
      <c r="N102" t="s">
        <v>72</v>
      </c>
      <c r="O102" t="s">
        <v>73</v>
      </c>
      <c r="P102" t="s">
        <v>148</v>
      </c>
      <c r="Q102" t="s">
        <v>53</v>
      </c>
      <c r="R102" t="s">
        <v>53</v>
      </c>
      <c r="S102" s="2" t="s">
        <v>163</v>
      </c>
      <c r="T102" t="s">
        <v>74</v>
      </c>
      <c r="U102" t="s">
        <v>75</v>
      </c>
      <c r="V102" t="s">
        <v>53</v>
      </c>
      <c r="W102" t="s">
        <v>54</v>
      </c>
      <c r="X102" t="s">
        <v>350</v>
      </c>
      <c r="Y102" t="s">
        <v>56</v>
      </c>
      <c r="Z102" t="s">
        <v>78</v>
      </c>
      <c r="AA102" t="s">
        <v>58</v>
      </c>
      <c r="AB102" s="2" t="s">
        <v>59</v>
      </c>
      <c r="AC102" t="s">
        <v>113</v>
      </c>
      <c r="AD102" t="s">
        <v>61</v>
      </c>
      <c r="AE102" t="s">
        <v>97</v>
      </c>
      <c r="AF102" t="s">
        <v>50</v>
      </c>
      <c r="AG102" t="s">
        <v>178</v>
      </c>
      <c r="AH102" t="s">
        <v>66</v>
      </c>
      <c r="AI102" t="s">
        <v>66</v>
      </c>
      <c r="AJ102" t="s">
        <v>65</v>
      </c>
      <c r="AK102" t="s">
        <v>64</v>
      </c>
      <c r="AL102" t="s">
        <v>193</v>
      </c>
      <c r="AM102" t="s">
        <v>84</v>
      </c>
    </row>
    <row r="103" spans="1:39">
      <c r="A103">
        <v>110</v>
      </c>
      <c r="B103" s="1">
        <v>46138.6317361111</v>
      </c>
      <c r="C103" s="1">
        <v>46138.632893518501</v>
      </c>
      <c r="D103" t="s">
        <v>39</v>
      </c>
      <c r="F103" s="1"/>
      <c r="G103" t="s">
        <v>272</v>
      </c>
      <c r="H103" t="s">
        <v>99</v>
      </c>
      <c r="I103" t="s">
        <v>351</v>
      </c>
      <c r="J103" t="s">
        <v>43</v>
      </c>
      <c r="K103" t="s">
        <v>349</v>
      </c>
      <c r="L103" s="2" t="s">
        <v>130</v>
      </c>
      <c r="M103" s="2" t="s">
        <v>71</v>
      </c>
      <c r="N103" t="s">
        <v>189</v>
      </c>
      <c r="O103" t="s">
        <v>243</v>
      </c>
      <c r="P103" t="s">
        <v>167</v>
      </c>
      <c r="Q103" t="s">
        <v>103</v>
      </c>
      <c r="R103" t="s">
        <v>50</v>
      </c>
      <c r="S103" s="2" t="s">
        <v>328</v>
      </c>
      <c r="T103" t="s">
        <v>104</v>
      </c>
      <c r="U103" t="s">
        <v>92</v>
      </c>
      <c r="V103" t="s">
        <v>53</v>
      </c>
      <c r="W103" t="s">
        <v>76</v>
      </c>
      <c r="X103" t="s">
        <v>352</v>
      </c>
      <c r="Y103" t="s">
        <v>57</v>
      </c>
      <c r="Z103" t="s">
        <v>78</v>
      </c>
      <c r="AA103" t="s">
        <v>112</v>
      </c>
      <c r="AB103" s="2" t="s">
        <v>80</v>
      </c>
      <c r="AC103" t="s">
        <v>113</v>
      </c>
      <c r="AD103" t="s">
        <v>128</v>
      </c>
      <c r="AE103" t="s">
        <v>165</v>
      </c>
      <c r="AF103" t="s">
        <v>63</v>
      </c>
      <c r="AG103" t="s">
        <v>83</v>
      </c>
      <c r="AH103" t="s">
        <v>64</v>
      </c>
      <c r="AI103" t="s">
        <v>64</v>
      </c>
      <c r="AJ103" t="s">
        <v>66</v>
      </c>
      <c r="AK103" t="s">
        <v>193</v>
      </c>
      <c r="AL103" t="s">
        <v>84</v>
      </c>
      <c r="AM103" t="s">
        <v>193</v>
      </c>
    </row>
    <row r="104" spans="1:39">
      <c r="A104">
        <v>111</v>
      </c>
      <c r="B104" s="1">
        <v>46138.632916666698</v>
      </c>
      <c r="C104" s="1">
        <v>46138.634189814802</v>
      </c>
      <c r="D104" t="s">
        <v>39</v>
      </c>
      <c r="F104" s="1"/>
      <c r="G104" t="s">
        <v>98</v>
      </c>
      <c r="H104" t="s">
        <v>353</v>
      </c>
      <c r="I104" t="s">
        <v>354</v>
      </c>
      <c r="J104" t="s">
        <v>43</v>
      </c>
      <c r="K104" t="s">
        <v>69</v>
      </c>
      <c r="L104" s="2" t="s">
        <v>120</v>
      </c>
      <c r="M104" s="2" t="s">
        <v>355</v>
      </c>
      <c r="N104" t="s">
        <v>89</v>
      </c>
      <c r="O104" t="s">
        <v>243</v>
      </c>
      <c r="P104" t="s">
        <v>148</v>
      </c>
      <c r="Q104" t="s">
        <v>53</v>
      </c>
      <c r="R104" t="s">
        <v>103</v>
      </c>
      <c r="S104" s="2" t="s">
        <v>80</v>
      </c>
      <c r="T104" t="s">
        <v>91</v>
      </c>
      <c r="U104" t="s">
        <v>75</v>
      </c>
      <c r="V104" t="s">
        <v>93</v>
      </c>
      <c r="W104" t="s">
        <v>116</v>
      </c>
      <c r="X104" t="s">
        <v>356</v>
      </c>
      <c r="Y104" t="s">
        <v>78</v>
      </c>
      <c r="Z104" t="s">
        <v>56</v>
      </c>
      <c r="AA104" t="s">
        <v>95</v>
      </c>
      <c r="AB104" s="2" t="s">
        <v>59</v>
      </c>
      <c r="AC104" t="s">
        <v>96</v>
      </c>
      <c r="AD104" t="s">
        <v>61</v>
      </c>
      <c r="AE104" t="s">
        <v>173</v>
      </c>
      <c r="AF104" t="s">
        <v>50</v>
      </c>
      <c r="AG104" t="s">
        <v>61</v>
      </c>
      <c r="AH104" t="s">
        <v>66</v>
      </c>
      <c r="AI104" t="s">
        <v>66</v>
      </c>
      <c r="AJ104" t="s">
        <v>64</v>
      </c>
      <c r="AK104" t="s">
        <v>193</v>
      </c>
      <c r="AL104" t="s">
        <v>193</v>
      </c>
      <c r="AM104" t="s">
        <v>84</v>
      </c>
    </row>
    <row r="105" spans="1:39">
      <c r="A105">
        <v>112</v>
      </c>
      <c r="B105" s="1">
        <v>46138.634212962999</v>
      </c>
      <c r="C105" s="1">
        <v>46138.636111111096</v>
      </c>
      <c r="D105" t="s">
        <v>39</v>
      </c>
      <c r="F105" s="1"/>
      <c r="G105" t="s">
        <v>272</v>
      </c>
      <c r="H105" t="s">
        <v>318</v>
      </c>
      <c r="I105" t="s">
        <v>346</v>
      </c>
      <c r="J105" t="s">
        <v>68</v>
      </c>
      <c r="K105" t="s">
        <v>198</v>
      </c>
      <c r="L105" s="2" t="s">
        <v>357</v>
      </c>
      <c r="M105" s="2" t="s">
        <v>142</v>
      </c>
      <c r="N105" t="s">
        <v>189</v>
      </c>
      <c r="O105" t="s">
        <v>243</v>
      </c>
      <c r="P105" t="s">
        <v>138</v>
      </c>
      <c r="Q105" t="s">
        <v>93</v>
      </c>
      <c r="R105" t="s">
        <v>63</v>
      </c>
      <c r="S105" s="2" t="s">
        <v>102</v>
      </c>
      <c r="T105" t="s">
        <v>51</v>
      </c>
      <c r="U105" t="s">
        <v>52</v>
      </c>
      <c r="V105" t="s">
        <v>50</v>
      </c>
      <c r="W105" t="s">
        <v>122</v>
      </c>
      <c r="X105" t="s">
        <v>344</v>
      </c>
      <c r="Y105" t="s">
        <v>57</v>
      </c>
      <c r="Z105" t="s">
        <v>78</v>
      </c>
      <c r="AA105" t="s">
        <v>229</v>
      </c>
      <c r="AB105" s="2" t="s">
        <v>142</v>
      </c>
      <c r="AC105" t="s">
        <v>60</v>
      </c>
      <c r="AD105" t="s">
        <v>82</v>
      </c>
      <c r="AE105" t="s">
        <v>173</v>
      </c>
      <c r="AF105" t="s">
        <v>103</v>
      </c>
      <c r="AG105" t="s">
        <v>178</v>
      </c>
      <c r="AH105" t="s">
        <v>64</v>
      </c>
      <c r="AI105" t="s">
        <v>193</v>
      </c>
      <c r="AJ105" t="s">
        <v>193</v>
      </c>
      <c r="AK105" t="s">
        <v>193</v>
      </c>
      <c r="AL105" t="s">
        <v>64</v>
      </c>
      <c r="AM105" t="s">
        <v>66</v>
      </c>
    </row>
    <row r="106" spans="1:39">
      <c r="A106">
        <v>113</v>
      </c>
      <c r="B106" s="1">
        <v>46138.636620370402</v>
      </c>
      <c r="C106" s="1">
        <v>46138.650405092601</v>
      </c>
      <c r="D106" t="s">
        <v>39</v>
      </c>
      <c r="F106" s="1"/>
      <c r="G106" t="s">
        <v>85</v>
      </c>
      <c r="H106" t="s">
        <v>358</v>
      </c>
      <c r="I106" t="s">
        <v>359</v>
      </c>
      <c r="J106" t="s">
        <v>43</v>
      </c>
      <c r="K106" t="s">
        <v>69</v>
      </c>
      <c r="L106" s="2" t="s">
        <v>199</v>
      </c>
      <c r="M106" s="2" t="s">
        <v>70</v>
      </c>
      <c r="N106" t="s">
        <v>110</v>
      </c>
      <c r="O106" t="s">
        <v>73</v>
      </c>
      <c r="P106" t="s">
        <v>167</v>
      </c>
      <c r="Q106" t="s">
        <v>63</v>
      </c>
      <c r="R106" t="s">
        <v>63</v>
      </c>
      <c r="S106" s="2" t="s">
        <v>343</v>
      </c>
      <c r="T106" t="s">
        <v>91</v>
      </c>
      <c r="U106" t="s">
        <v>121</v>
      </c>
      <c r="V106" t="s">
        <v>53</v>
      </c>
      <c r="W106" t="s">
        <v>116</v>
      </c>
      <c r="X106" t="s">
        <v>350</v>
      </c>
      <c r="Y106" t="s">
        <v>57</v>
      </c>
      <c r="Z106" t="s">
        <v>56</v>
      </c>
      <c r="AA106" t="s">
        <v>79</v>
      </c>
      <c r="AB106" s="2" t="s">
        <v>70</v>
      </c>
      <c r="AC106" t="s">
        <v>202</v>
      </c>
      <c r="AD106" t="s">
        <v>61</v>
      </c>
      <c r="AE106" t="s">
        <v>118</v>
      </c>
      <c r="AF106" t="s">
        <v>103</v>
      </c>
      <c r="AG106" t="s">
        <v>83</v>
      </c>
      <c r="AH106" t="s">
        <v>193</v>
      </c>
      <c r="AI106" t="s">
        <v>84</v>
      </c>
      <c r="AJ106" t="s">
        <v>84</v>
      </c>
      <c r="AK106" t="s">
        <v>66</v>
      </c>
      <c r="AL106" t="s">
        <v>66</v>
      </c>
      <c r="AM106" t="s">
        <v>84</v>
      </c>
    </row>
    <row r="107" spans="1:39">
      <c r="A107">
        <v>114</v>
      </c>
      <c r="B107" s="1">
        <v>46138.650462963</v>
      </c>
      <c r="C107" s="1">
        <v>46138.652326388903</v>
      </c>
      <c r="D107" t="s">
        <v>39</v>
      </c>
      <c r="F107" s="1"/>
      <c r="G107" t="s">
        <v>124</v>
      </c>
      <c r="H107" t="s">
        <v>315</v>
      </c>
      <c r="I107" t="s">
        <v>360</v>
      </c>
      <c r="J107" t="s">
        <v>43</v>
      </c>
      <c r="K107" t="s">
        <v>44</v>
      </c>
      <c r="L107" s="2" t="s">
        <v>59</v>
      </c>
      <c r="M107" s="2" t="s">
        <v>308</v>
      </c>
      <c r="N107" t="s">
        <v>89</v>
      </c>
      <c r="O107" t="s">
        <v>135</v>
      </c>
      <c r="P107" t="s">
        <v>49</v>
      </c>
      <c r="Q107" t="s">
        <v>103</v>
      </c>
      <c r="R107" t="s">
        <v>93</v>
      </c>
      <c r="S107" s="2" t="s">
        <v>258</v>
      </c>
      <c r="T107" t="s">
        <v>74</v>
      </c>
      <c r="U107" t="s">
        <v>52</v>
      </c>
      <c r="V107" t="s">
        <v>50</v>
      </c>
      <c r="W107" t="s">
        <v>105</v>
      </c>
      <c r="X107" t="s">
        <v>361</v>
      </c>
      <c r="Y107" t="s">
        <v>57</v>
      </c>
      <c r="Z107" t="s">
        <v>78</v>
      </c>
      <c r="AA107" t="s">
        <v>112</v>
      </c>
      <c r="AB107" s="2" t="s">
        <v>80</v>
      </c>
      <c r="AC107" t="s">
        <v>96</v>
      </c>
      <c r="AD107" t="s">
        <v>128</v>
      </c>
      <c r="AE107" t="s">
        <v>97</v>
      </c>
      <c r="AF107" t="s">
        <v>93</v>
      </c>
      <c r="AG107" t="s">
        <v>83</v>
      </c>
      <c r="AH107" t="s">
        <v>193</v>
      </c>
      <c r="AI107" t="s">
        <v>84</v>
      </c>
      <c r="AJ107" t="s">
        <v>65</v>
      </c>
      <c r="AK107" t="s">
        <v>193</v>
      </c>
      <c r="AL107" t="s">
        <v>64</v>
      </c>
      <c r="AM107" t="s">
        <v>65</v>
      </c>
    </row>
    <row r="108" spans="1:39">
      <c r="A108">
        <v>115</v>
      </c>
      <c r="B108" s="1">
        <v>46138.660868055602</v>
      </c>
      <c r="C108" s="1">
        <v>46138.675127314797</v>
      </c>
      <c r="D108" t="s">
        <v>39</v>
      </c>
      <c r="F108" s="1"/>
      <c r="G108" t="s">
        <v>98</v>
      </c>
      <c r="H108" t="s">
        <v>264</v>
      </c>
      <c r="I108" t="s">
        <v>362</v>
      </c>
      <c r="J108" t="s">
        <v>68</v>
      </c>
      <c r="K108" t="s">
        <v>69</v>
      </c>
      <c r="L108" s="2" t="s">
        <v>130</v>
      </c>
      <c r="M108" s="2" t="s">
        <v>355</v>
      </c>
      <c r="N108" t="s">
        <v>47</v>
      </c>
      <c r="O108" t="s">
        <v>135</v>
      </c>
      <c r="P108" t="s">
        <v>49</v>
      </c>
      <c r="Q108" t="s">
        <v>53</v>
      </c>
      <c r="R108" t="s">
        <v>50</v>
      </c>
      <c r="S108" s="2" t="s">
        <v>59</v>
      </c>
      <c r="T108" t="s">
        <v>104</v>
      </c>
      <c r="U108" t="s">
        <v>75</v>
      </c>
      <c r="V108" t="s">
        <v>50</v>
      </c>
      <c r="W108" t="s">
        <v>76</v>
      </c>
      <c r="X108" t="s">
        <v>363</v>
      </c>
      <c r="Y108" t="s">
        <v>78</v>
      </c>
      <c r="Z108" t="s">
        <v>56</v>
      </c>
      <c r="AA108" t="s">
        <v>95</v>
      </c>
      <c r="AB108" s="2" t="s">
        <v>59</v>
      </c>
      <c r="AC108" t="s">
        <v>113</v>
      </c>
      <c r="AD108" t="s">
        <v>61</v>
      </c>
      <c r="AE108" t="s">
        <v>62</v>
      </c>
      <c r="AF108" t="s">
        <v>50</v>
      </c>
      <c r="AG108" t="s">
        <v>83</v>
      </c>
      <c r="AH108" t="s">
        <v>64</v>
      </c>
      <c r="AI108" t="s">
        <v>64</v>
      </c>
      <c r="AJ108" t="s">
        <v>66</v>
      </c>
      <c r="AK108" t="s">
        <v>193</v>
      </c>
      <c r="AL108" t="s">
        <v>84</v>
      </c>
      <c r="AM108" t="s">
        <v>65</v>
      </c>
    </row>
    <row r="109" spans="1:39">
      <c r="A109">
        <v>116</v>
      </c>
      <c r="B109" s="1">
        <v>46138.675347222197</v>
      </c>
      <c r="C109" s="1">
        <v>46138.678738425901</v>
      </c>
      <c r="D109" t="s">
        <v>39</v>
      </c>
      <c r="F109" s="1"/>
      <c r="G109" t="s">
        <v>85</v>
      </c>
      <c r="H109" t="s">
        <v>41</v>
      </c>
      <c r="I109" t="s">
        <v>364</v>
      </c>
      <c r="J109" t="s">
        <v>68</v>
      </c>
      <c r="K109" t="s">
        <v>101</v>
      </c>
      <c r="L109" s="2" t="s">
        <v>175</v>
      </c>
      <c r="M109" s="2" t="s">
        <v>186</v>
      </c>
      <c r="N109" t="s">
        <v>189</v>
      </c>
      <c r="O109" t="s">
        <v>48</v>
      </c>
      <c r="P109" t="s">
        <v>148</v>
      </c>
      <c r="Q109" t="s">
        <v>50</v>
      </c>
      <c r="R109" t="s">
        <v>53</v>
      </c>
      <c r="S109" s="2" t="s">
        <v>71</v>
      </c>
      <c r="T109" t="s">
        <v>74</v>
      </c>
      <c r="U109" t="s">
        <v>52</v>
      </c>
      <c r="V109" t="s">
        <v>53</v>
      </c>
      <c r="W109" t="s">
        <v>54</v>
      </c>
      <c r="X109" t="s">
        <v>365</v>
      </c>
      <c r="Y109" t="s">
        <v>56</v>
      </c>
      <c r="Z109" t="s">
        <v>56</v>
      </c>
      <c r="AA109" t="s">
        <v>177</v>
      </c>
      <c r="AB109" s="2" t="s">
        <v>59</v>
      </c>
      <c r="AC109" t="s">
        <v>113</v>
      </c>
      <c r="AD109" t="s">
        <v>61</v>
      </c>
      <c r="AE109" t="s">
        <v>118</v>
      </c>
      <c r="AF109" t="s">
        <v>53</v>
      </c>
      <c r="AG109" t="s">
        <v>61</v>
      </c>
      <c r="AH109" t="s">
        <v>193</v>
      </c>
      <c r="AI109" t="s">
        <v>84</v>
      </c>
      <c r="AJ109" t="s">
        <v>84</v>
      </c>
      <c r="AK109" t="s">
        <v>193</v>
      </c>
      <c r="AL109" t="s">
        <v>65</v>
      </c>
      <c r="AM109" t="s">
        <v>84</v>
      </c>
    </row>
    <row r="110" spans="1:39">
      <c r="A110">
        <v>117</v>
      </c>
      <c r="B110" s="1">
        <v>46138.679351851897</v>
      </c>
      <c r="C110" s="1">
        <v>46138.683136574102</v>
      </c>
      <c r="D110" t="s">
        <v>39</v>
      </c>
      <c r="F110" s="1"/>
      <c r="G110" t="s">
        <v>272</v>
      </c>
      <c r="H110" t="s">
        <v>86</v>
      </c>
      <c r="I110" t="s">
        <v>276</v>
      </c>
      <c r="J110" t="s">
        <v>43</v>
      </c>
      <c r="K110" t="s">
        <v>69</v>
      </c>
      <c r="L110" s="2" t="s">
        <v>59</v>
      </c>
      <c r="M110" s="2" t="s">
        <v>366</v>
      </c>
      <c r="N110" t="s">
        <v>47</v>
      </c>
      <c r="O110" t="s">
        <v>135</v>
      </c>
      <c r="P110" t="s">
        <v>167</v>
      </c>
      <c r="Q110" t="s">
        <v>50</v>
      </c>
      <c r="R110" t="s">
        <v>103</v>
      </c>
      <c r="S110" s="2" t="s">
        <v>70</v>
      </c>
      <c r="T110" t="s">
        <v>74</v>
      </c>
      <c r="U110" t="s">
        <v>92</v>
      </c>
      <c r="V110" t="s">
        <v>53</v>
      </c>
      <c r="W110" t="s">
        <v>105</v>
      </c>
      <c r="X110" t="s">
        <v>367</v>
      </c>
      <c r="Y110" t="s">
        <v>56</v>
      </c>
      <c r="Z110" t="s">
        <v>78</v>
      </c>
      <c r="AA110" t="s">
        <v>291</v>
      </c>
      <c r="AB110" s="2" t="s">
        <v>70</v>
      </c>
      <c r="AC110" t="s">
        <v>81</v>
      </c>
      <c r="AD110" t="s">
        <v>82</v>
      </c>
      <c r="AE110" t="s">
        <v>62</v>
      </c>
      <c r="AF110" t="s">
        <v>63</v>
      </c>
      <c r="AG110" t="s">
        <v>83</v>
      </c>
      <c r="AH110" t="s">
        <v>64</v>
      </c>
      <c r="AI110" t="s">
        <v>66</v>
      </c>
      <c r="AJ110" t="s">
        <v>66</v>
      </c>
      <c r="AK110" t="s">
        <v>193</v>
      </c>
      <c r="AL110" t="s">
        <v>193</v>
      </c>
      <c r="AM110" t="s">
        <v>84</v>
      </c>
    </row>
    <row r="111" spans="1:39">
      <c r="A111">
        <v>118</v>
      </c>
      <c r="B111" s="1">
        <v>46138.683229166701</v>
      </c>
      <c r="C111" s="1">
        <v>46138.690995370402</v>
      </c>
      <c r="D111" t="s">
        <v>39</v>
      </c>
      <c r="F111" s="1"/>
      <c r="G111" t="s">
        <v>98</v>
      </c>
      <c r="H111" t="s">
        <v>99</v>
      </c>
      <c r="I111" t="s">
        <v>368</v>
      </c>
      <c r="J111" t="s">
        <v>43</v>
      </c>
      <c r="K111" t="s">
        <v>101</v>
      </c>
      <c r="L111" s="2" t="s">
        <v>45</v>
      </c>
      <c r="M111" s="2" t="s">
        <v>258</v>
      </c>
      <c r="N111" t="s">
        <v>189</v>
      </c>
      <c r="O111" t="s">
        <v>135</v>
      </c>
      <c r="P111" t="s">
        <v>167</v>
      </c>
      <c r="Q111" t="s">
        <v>50</v>
      </c>
      <c r="R111" t="s">
        <v>50</v>
      </c>
      <c r="S111" s="2" t="s">
        <v>258</v>
      </c>
      <c r="T111" t="s">
        <v>154</v>
      </c>
      <c r="U111" t="s">
        <v>52</v>
      </c>
      <c r="V111" t="s">
        <v>53</v>
      </c>
      <c r="W111" t="s">
        <v>54</v>
      </c>
      <c r="X111" t="s">
        <v>369</v>
      </c>
      <c r="Y111" t="s">
        <v>57</v>
      </c>
      <c r="Z111" t="s">
        <v>56</v>
      </c>
      <c r="AA111" t="s">
        <v>112</v>
      </c>
      <c r="AB111" s="2" t="s">
        <v>142</v>
      </c>
      <c r="AC111" t="s">
        <v>113</v>
      </c>
      <c r="AD111" t="s">
        <v>178</v>
      </c>
      <c r="AE111" t="s">
        <v>62</v>
      </c>
      <c r="AF111" t="s">
        <v>50</v>
      </c>
      <c r="AG111" t="s">
        <v>83</v>
      </c>
      <c r="AH111" t="s">
        <v>193</v>
      </c>
      <c r="AI111" t="s">
        <v>65</v>
      </c>
      <c r="AJ111" t="s">
        <v>84</v>
      </c>
      <c r="AK111" t="s">
        <v>64</v>
      </c>
      <c r="AL111" t="s">
        <v>193</v>
      </c>
      <c r="AM111" t="s">
        <v>65</v>
      </c>
    </row>
    <row r="112" spans="1:39">
      <c r="A112">
        <v>119</v>
      </c>
      <c r="B112" s="1">
        <v>46138.691018518497</v>
      </c>
      <c r="C112" s="1">
        <v>46138.696898148097</v>
      </c>
      <c r="D112" t="s">
        <v>39</v>
      </c>
      <c r="F112" s="1"/>
      <c r="G112" t="s">
        <v>85</v>
      </c>
      <c r="H112" t="s">
        <v>264</v>
      </c>
      <c r="I112" t="s">
        <v>370</v>
      </c>
      <c r="J112" t="s">
        <v>68</v>
      </c>
      <c r="K112" t="s">
        <v>44</v>
      </c>
      <c r="L112" s="2" t="s">
        <v>88</v>
      </c>
      <c r="M112" s="2" t="s">
        <v>80</v>
      </c>
      <c r="N112" t="s">
        <v>47</v>
      </c>
      <c r="O112" t="s">
        <v>135</v>
      </c>
      <c r="P112" t="s">
        <v>138</v>
      </c>
      <c r="Q112" t="s">
        <v>50</v>
      </c>
      <c r="R112" t="s">
        <v>103</v>
      </c>
      <c r="S112" s="2" t="s">
        <v>59</v>
      </c>
      <c r="T112" t="s">
        <v>91</v>
      </c>
      <c r="U112" t="s">
        <v>92</v>
      </c>
      <c r="V112" t="s">
        <v>50</v>
      </c>
      <c r="W112" t="s">
        <v>76</v>
      </c>
      <c r="X112" t="s">
        <v>371</v>
      </c>
      <c r="Y112" t="s">
        <v>78</v>
      </c>
      <c r="Z112" t="s">
        <v>56</v>
      </c>
      <c r="AA112" t="s">
        <v>177</v>
      </c>
      <c r="AB112" s="2" t="s">
        <v>70</v>
      </c>
      <c r="AC112" t="s">
        <v>60</v>
      </c>
      <c r="AD112" t="s">
        <v>61</v>
      </c>
      <c r="AE112" t="s">
        <v>62</v>
      </c>
      <c r="AF112" t="s">
        <v>63</v>
      </c>
      <c r="AG112" t="s">
        <v>61</v>
      </c>
      <c r="AH112" t="s">
        <v>64</v>
      </c>
      <c r="AI112" t="s">
        <v>64</v>
      </c>
      <c r="AJ112" t="s">
        <v>193</v>
      </c>
      <c r="AK112" t="s">
        <v>66</v>
      </c>
      <c r="AL112" t="s">
        <v>64</v>
      </c>
      <c r="AM112" t="s">
        <v>64</v>
      </c>
    </row>
    <row r="113" spans="1:39">
      <c r="A113">
        <v>120</v>
      </c>
      <c r="B113" s="1">
        <v>46138.697175925903</v>
      </c>
      <c r="C113" s="1">
        <v>46138.699085648099</v>
      </c>
      <c r="D113" t="s">
        <v>39</v>
      </c>
      <c r="F113" s="1"/>
      <c r="G113" t="s">
        <v>124</v>
      </c>
      <c r="H113" t="s">
        <v>41</v>
      </c>
      <c r="I113" t="s">
        <v>125</v>
      </c>
      <c r="J113" t="s">
        <v>43</v>
      </c>
      <c r="K113" t="s">
        <v>198</v>
      </c>
      <c r="L113" s="2" t="s">
        <v>88</v>
      </c>
      <c r="M113" s="2" t="s">
        <v>46</v>
      </c>
      <c r="N113" t="s">
        <v>89</v>
      </c>
      <c r="O113" t="s">
        <v>90</v>
      </c>
      <c r="P113" t="s">
        <v>49</v>
      </c>
      <c r="Q113" t="s">
        <v>53</v>
      </c>
      <c r="R113" t="s">
        <v>50</v>
      </c>
      <c r="S113" s="2" t="s">
        <v>80</v>
      </c>
      <c r="T113" t="s">
        <v>91</v>
      </c>
      <c r="U113" t="s">
        <v>92</v>
      </c>
      <c r="V113" t="s">
        <v>53</v>
      </c>
      <c r="W113" t="s">
        <v>54</v>
      </c>
      <c r="X113" t="s">
        <v>176</v>
      </c>
      <c r="Y113" t="s">
        <v>78</v>
      </c>
      <c r="Z113" t="s">
        <v>56</v>
      </c>
      <c r="AA113" t="s">
        <v>112</v>
      </c>
      <c r="AB113" s="2" t="s">
        <v>142</v>
      </c>
      <c r="AC113" t="s">
        <v>113</v>
      </c>
      <c r="AD113" t="s">
        <v>178</v>
      </c>
      <c r="AE113" t="s">
        <v>118</v>
      </c>
      <c r="AF113" t="s">
        <v>50</v>
      </c>
      <c r="AG113" t="s">
        <v>83</v>
      </c>
      <c r="AH113" t="s">
        <v>64</v>
      </c>
      <c r="AI113" t="s">
        <v>66</v>
      </c>
      <c r="AJ113" t="s">
        <v>64</v>
      </c>
      <c r="AK113" t="s">
        <v>64</v>
      </c>
      <c r="AL113" t="s">
        <v>64</v>
      </c>
      <c r="AM113" t="s">
        <v>65</v>
      </c>
    </row>
    <row r="114" spans="1:39">
      <c r="A114">
        <v>121</v>
      </c>
      <c r="B114" s="1">
        <v>46138.699108796303</v>
      </c>
      <c r="C114" s="1">
        <v>46138.703958333303</v>
      </c>
      <c r="D114" t="s">
        <v>39</v>
      </c>
      <c r="F114" s="1"/>
      <c r="G114" t="s">
        <v>272</v>
      </c>
      <c r="H114" t="s">
        <v>306</v>
      </c>
      <c r="I114" t="s">
        <v>372</v>
      </c>
      <c r="J114" t="s">
        <v>373</v>
      </c>
      <c r="K114" t="s">
        <v>101</v>
      </c>
      <c r="L114" s="2" t="s">
        <v>59</v>
      </c>
      <c r="M114" s="2" t="s">
        <v>366</v>
      </c>
      <c r="N114" t="s">
        <v>72</v>
      </c>
      <c r="O114" t="s">
        <v>135</v>
      </c>
      <c r="P114" t="s">
        <v>49</v>
      </c>
      <c r="Q114" t="s">
        <v>50</v>
      </c>
      <c r="R114" t="s">
        <v>53</v>
      </c>
      <c r="S114" s="2" t="s">
        <v>59</v>
      </c>
      <c r="T114" t="s">
        <v>91</v>
      </c>
      <c r="U114" t="s">
        <v>92</v>
      </c>
      <c r="V114" t="s">
        <v>103</v>
      </c>
      <c r="W114" t="s">
        <v>105</v>
      </c>
      <c r="X114" t="s">
        <v>176</v>
      </c>
      <c r="Y114" t="s">
        <v>56</v>
      </c>
      <c r="Z114" t="s">
        <v>56</v>
      </c>
      <c r="AA114" t="s">
        <v>334</v>
      </c>
      <c r="AB114" s="2" t="s">
        <v>59</v>
      </c>
      <c r="AC114" t="s">
        <v>113</v>
      </c>
      <c r="AD114" t="s">
        <v>61</v>
      </c>
      <c r="AE114" t="s">
        <v>118</v>
      </c>
      <c r="AF114" t="s">
        <v>63</v>
      </c>
      <c r="AG114" t="s">
        <v>61</v>
      </c>
      <c r="AH114" t="s">
        <v>65</v>
      </c>
      <c r="AI114" t="s">
        <v>64</v>
      </c>
      <c r="AJ114" t="s">
        <v>65</v>
      </c>
      <c r="AK114" t="s">
        <v>64</v>
      </c>
      <c r="AL114" t="s">
        <v>64</v>
      </c>
      <c r="AM114" t="s">
        <v>65</v>
      </c>
    </row>
    <row r="115" spans="1:39">
      <c r="A115">
        <v>122</v>
      </c>
      <c r="B115" s="1">
        <v>46138.704004629602</v>
      </c>
      <c r="C115" s="1">
        <v>46138.706122685202</v>
      </c>
      <c r="D115" t="s">
        <v>39</v>
      </c>
      <c r="F115" s="1"/>
      <c r="G115" t="s">
        <v>98</v>
      </c>
      <c r="H115" t="s">
        <v>318</v>
      </c>
      <c r="I115" t="s">
        <v>374</v>
      </c>
      <c r="J115" t="s">
        <v>43</v>
      </c>
      <c r="K115" t="s">
        <v>44</v>
      </c>
      <c r="L115" s="2" t="s">
        <v>120</v>
      </c>
      <c r="M115" s="2" t="s">
        <v>80</v>
      </c>
      <c r="N115" t="s">
        <v>72</v>
      </c>
      <c r="O115" t="s">
        <v>135</v>
      </c>
      <c r="P115" t="s">
        <v>167</v>
      </c>
      <c r="Q115" t="s">
        <v>50</v>
      </c>
      <c r="R115" t="s">
        <v>103</v>
      </c>
      <c r="S115" s="2" t="s">
        <v>343</v>
      </c>
      <c r="T115" t="s">
        <v>51</v>
      </c>
      <c r="U115" t="s">
        <v>121</v>
      </c>
      <c r="V115" t="s">
        <v>50</v>
      </c>
      <c r="W115" t="s">
        <v>122</v>
      </c>
      <c r="X115" t="s">
        <v>111</v>
      </c>
      <c r="Y115" t="s">
        <v>56</v>
      </c>
      <c r="Z115" t="s">
        <v>56</v>
      </c>
      <c r="AA115" t="s">
        <v>112</v>
      </c>
      <c r="AB115" s="2" t="s">
        <v>142</v>
      </c>
      <c r="AC115" t="s">
        <v>113</v>
      </c>
      <c r="AD115" t="s">
        <v>61</v>
      </c>
      <c r="AE115" t="s">
        <v>118</v>
      </c>
      <c r="AF115" t="s">
        <v>50</v>
      </c>
      <c r="AG115" t="s">
        <v>83</v>
      </c>
      <c r="AH115" t="s">
        <v>64</v>
      </c>
      <c r="AI115" t="s">
        <v>65</v>
      </c>
      <c r="AJ115" t="s">
        <v>66</v>
      </c>
      <c r="AK115" t="s">
        <v>65</v>
      </c>
      <c r="AL115" t="s">
        <v>66</v>
      </c>
      <c r="AM115" t="s">
        <v>64</v>
      </c>
    </row>
    <row r="116" spans="1:39">
      <c r="A116">
        <v>123</v>
      </c>
      <c r="B116" s="1">
        <v>46138.706145833297</v>
      </c>
      <c r="C116" s="1">
        <v>46138.708020833299</v>
      </c>
      <c r="D116" t="s">
        <v>39</v>
      </c>
      <c r="F116" s="1"/>
      <c r="G116" t="s">
        <v>40</v>
      </c>
      <c r="H116" t="s">
        <v>318</v>
      </c>
      <c r="I116" t="s">
        <v>375</v>
      </c>
      <c r="J116" t="s">
        <v>68</v>
      </c>
      <c r="K116" t="s">
        <v>239</v>
      </c>
      <c r="L116" s="2" t="s">
        <v>88</v>
      </c>
      <c r="M116" s="2" t="s">
        <v>258</v>
      </c>
      <c r="N116" t="s">
        <v>47</v>
      </c>
      <c r="O116" t="s">
        <v>90</v>
      </c>
      <c r="P116" t="s">
        <v>49</v>
      </c>
      <c r="Q116" t="s">
        <v>53</v>
      </c>
      <c r="R116" t="s">
        <v>53</v>
      </c>
      <c r="S116" s="2" t="s">
        <v>355</v>
      </c>
      <c r="T116" t="s">
        <v>91</v>
      </c>
      <c r="U116" t="s">
        <v>75</v>
      </c>
      <c r="V116" t="s">
        <v>50</v>
      </c>
      <c r="W116" t="s">
        <v>76</v>
      </c>
      <c r="X116" t="s">
        <v>367</v>
      </c>
      <c r="Y116" t="s">
        <v>78</v>
      </c>
      <c r="Z116" t="s">
        <v>56</v>
      </c>
      <c r="AA116" t="s">
        <v>112</v>
      </c>
      <c r="AB116" s="2" t="s">
        <v>59</v>
      </c>
      <c r="AC116" t="s">
        <v>60</v>
      </c>
      <c r="AD116" t="s">
        <v>61</v>
      </c>
      <c r="AE116" t="s">
        <v>118</v>
      </c>
      <c r="AF116" t="s">
        <v>50</v>
      </c>
      <c r="AG116" t="s">
        <v>83</v>
      </c>
      <c r="AH116" t="s">
        <v>65</v>
      </c>
      <c r="AI116" t="s">
        <v>66</v>
      </c>
      <c r="AJ116" t="s">
        <v>66</v>
      </c>
      <c r="AK116" t="s">
        <v>65</v>
      </c>
      <c r="AL116" t="s">
        <v>66</v>
      </c>
      <c r="AM116" t="s">
        <v>66</v>
      </c>
    </row>
    <row r="117" spans="1:39">
      <c r="A117">
        <v>124</v>
      </c>
      <c r="B117" s="1">
        <v>46138.7426388889</v>
      </c>
      <c r="C117" s="1">
        <v>46138.746076388903</v>
      </c>
      <c r="D117" t="s">
        <v>39</v>
      </c>
      <c r="F117" s="1"/>
      <c r="G117" t="s">
        <v>272</v>
      </c>
      <c r="H117" t="s">
        <v>358</v>
      </c>
      <c r="I117" t="s">
        <v>376</v>
      </c>
      <c r="J117" t="s">
        <v>43</v>
      </c>
      <c r="K117" t="s">
        <v>342</v>
      </c>
      <c r="L117" s="2" t="s">
        <v>339</v>
      </c>
      <c r="M117" s="2" t="s">
        <v>70</v>
      </c>
      <c r="N117" t="s">
        <v>189</v>
      </c>
      <c r="O117" t="s">
        <v>73</v>
      </c>
      <c r="P117" t="s">
        <v>49</v>
      </c>
      <c r="Q117" t="s">
        <v>53</v>
      </c>
      <c r="R117" t="s">
        <v>63</v>
      </c>
      <c r="S117" s="2" t="s">
        <v>80</v>
      </c>
      <c r="T117" t="s">
        <v>51</v>
      </c>
      <c r="U117" t="s">
        <v>52</v>
      </c>
      <c r="V117" t="s">
        <v>50</v>
      </c>
      <c r="W117" t="s">
        <v>122</v>
      </c>
      <c r="X117" t="s">
        <v>377</v>
      </c>
      <c r="Y117" t="s">
        <v>56</v>
      </c>
      <c r="Z117" t="s">
        <v>56</v>
      </c>
      <c r="AA117" t="s">
        <v>378</v>
      </c>
      <c r="AB117" s="2" t="s">
        <v>80</v>
      </c>
      <c r="AC117" t="s">
        <v>113</v>
      </c>
      <c r="AD117" t="s">
        <v>128</v>
      </c>
      <c r="AE117" t="s">
        <v>97</v>
      </c>
      <c r="AF117" t="s">
        <v>53</v>
      </c>
      <c r="AG117" t="s">
        <v>128</v>
      </c>
      <c r="AH117" t="s">
        <v>64</v>
      </c>
      <c r="AI117" t="s">
        <v>84</v>
      </c>
      <c r="AJ117" t="s">
        <v>64</v>
      </c>
      <c r="AK117" t="s">
        <v>65</v>
      </c>
      <c r="AL117" t="s">
        <v>65</v>
      </c>
      <c r="AM117" t="s">
        <v>66</v>
      </c>
    </row>
    <row r="118" spans="1:39">
      <c r="A118">
        <v>125</v>
      </c>
      <c r="B118" s="1">
        <v>46138.746203703697</v>
      </c>
      <c r="C118" s="1">
        <v>46138.747719907398</v>
      </c>
      <c r="D118" t="s">
        <v>39</v>
      </c>
      <c r="F118" s="1"/>
      <c r="G118" t="s">
        <v>40</v>
      </c>
      <c r="H118" t="s">
        <v>132</v>
      </c>
      <c r="I118" t="s">
        <v>125</v>
      </c>
      <c r="J118" t="s">
        <v>43</v>
      </c>
      <c r="K118" t="s">
        <v>198</v>
      </c>
      <c r="L118" s="2" t="s">
        <v>218</v>
      </c>
      <c r="M118" s="2" t="s">
        <v>147</v>
      </c>
      <c r="N118" t="s">
        <v>89</v>
      </c>
      <c r="O118" t="s">
        <v>48</v>
      </c>
      <c r="P118" t="s">
        <v>148</v>
      </c>
      <c r="Q118" t="s">
        <v>103</v>
      </c>
      <c r="R118" t="s">
        <v>53</v>
      </c>
      <c r="S118" s="2" t="s">
        <v>308</v>
      </c>
      <c r="T118" t="s">
        <v>51</v>
      </c>
      <c r="U118" t="s">
        <v>75</v>
      </c>
      <c r="V118" t="s">
        <v>53</v>
      </c>
      <c r="W118" t="s">
        <v>54</v>
      </c>
      <c r="X118" t="s">
        <v>363</v>
      </c>
      <c r="Y118" t="s">
        <v>78</v>
      </c>
      <c r="Z118" t="s">
        <v>57</v>
      </c>
      <c r="AA118" t="s">
        <v>112</v>
      </c>
      <c r="AB118" s="2" t="s">
        <v>142</v>
      </c>
      <c r="AC118" t="s">
        <v>81</v>
      </c>
      <c r="AD118" t="s">
        <v>82</v>
      </c>
      <c r="AE118" t="s">
        <v>107</v>
      </c>
      <c r="AF118" t="s">
        <v>50</v>
      </c>
      <c r="AG118" t="s">
        <v>83</v>
      </c>
      <c r="AH118" t="s">
        <v>64</v>
      </c>
      <c r="AI118" t="s">
        <v>64</v>
      </c>
      <c r="AJ118" t="s">
        <v>65</v>
      </c>
      <c r="AK118" t="s">
        <v>65</v>
      </c>
      <c r="AL118" t="s">
        <v>64</v>
      </c>
      <c r="AM118" t="s">
        <v>66</v>
      </c>
    </row>
    <row r="119" spans="1:39">
      <c r="A119">
        <v>126</v>
      </c>
      <c r="B119" s="1">
        <v>46138.747789351903</v>
      </c>
      <c r="C119" s="1">
        <v>46138.750370370399</v>
      </c>
      <c r="D119" t="s">
        <v>39</v>
      </c>
      <c r="F119" s="1"/>
      <c r="G119" t="s">
        <v>272</v>
      </c>
      <c r="H119" t="s">
        <v>41</v>
      </c>
      <c r="I119" t="s">
        <v>125</v>
      </c>
      <c r="J119" t="s">
        <v>43</v>
      </c>
      <c r="K119" t="s">
        <v>69</v>
      </c>
      <c r="L119" s="2" t="s">
        <v>120</v>
      </c>
      <c r="M119" s="2" t="s">
        <v>46</v>
      </c>
      <c r="N119" t="s">
        <v>72</v>
      </c>
      <c r="O119" t="s">
        <v>90</v>
      </c>
      <c r="P119" t="s">
        <v>49</v>
      </c>
      <c r="Q119" t="s">
        <v>103</v>
      </c>
      <c r="R119" t="s">
        <v>50</v>
      </c>
      <c r="S119" s="2" t="s">
        <v>70</v>
      </c>
      <c r="T119" t="s">
        <v>91</v>
      </c>
      <c r="U119" t="s">
        <v>121</v>
      </c>
      <c r="V119" t="s">
        <v>50</v>
      </c>
      <c r="W119" t="s">
        <v>76</v>
      </c>
      <c r="X119" t="s">
        <v>379</v>
      </c>
      <c r="Y119" t="s">
        <v>56</v>
      </c>
      <c r="Z119" t="s">
        <v>78</v>
      </c>
      <c r="AA119" t="s">
        <v>95</v>
      </c>
      <c r="AB119" s="2" t="s">
        <v>70</v>
      </c>
      <c r="AC119" t="s">
        <v>81</v>
      </c>
      <c r="AD119" t="s">
        <v>61</v>
      </c>
      <c r="AE119" t="s">
        <v>97</v>
      </c>
      <c r="AF119" t="s">
        <v>53</v>
      </c>
      <c r="AG119" t="s">
        <v>83</v>
      </c>
      <c r="AH119" t="s">
        <v>64</v>
      </c>
      <c r="AI119" t="s">
        <v>65</v>
      </c>
      <c r="AJ119" t="s">
        <v>64</v>
      </c>
      <c r="AK119" t="s">
        <v>84</v>
      </c>
      <c r="AL119" t="s">
        <v>84</v>
      </c>
      <c r="AM119" t="s">
        <v>65</v>
      </c>
    </row>
    <row r="120" spans="1:39">
      <c r="A120">
        <v>127</v>
      </c>
      <c r="B120" s="1">
        <v>46138.750567129602</v>
      </c>
      <c r="C120" s="1">
        <v>46138.752800925897</v>
      </c>
      <c r="D120" t="s">
        <v>39</v>
      </c>
      <c r="F120" s="1"/>
      <c r="G120" t="s">
        <v>98</v>
      </c>
      <c r="H120" t="s">
        <v>86</v>
      </c>
      <c r="I120" t="s">
        <v>380</v>
      </c>
      <c r="J120" t="s">
        <v>68</v>
      </c>
      <c r="K120" t="s">
        <v>101</v>
      </c>
      <c r="L120" s="2" t="s">
        <v>332</v>
      </c>
      <c r="M120" s="2" t="s">
        <v>147</v>
      </c>
      <c r="N120" t="s">
        <v>47</v>
      </c>
      <c r="O120" t="s">
        <v>73</v>
      </c>
      <c r="P120" t="s">
        <v>49</v>
      </c>
      <c r="Q120" t="s">
        <v>53</v>
      </c>
      <c r="R120" t="s">
        <v>53</v>
      </c>
      <c r="S120" s="2" t="s">
        <v>80</v>
      </c>
      <c r="T120" t="s">
        <v>74</v>
      </c>
      <c r="U120" t="s">
        <v>121</v>
      </c>
      <c r="V120" t="s">
        <v>50</v>
      </c>
      <c r="W120" t="s">
        <v>116</v>
      </c>
      <c r="X120" t="s">
        <v>381</v>
      </c>
      <c r="Y120" t="s">
        <v>78</v>
      </c>
      <c r="Z120" t="s">
        <v>56</v>
      </c>
      <c r="AA120" t="s">
        <v>58</v>
      </c>
      <c r="AB120" s="2" t="s">
        <v>59</v>
      </c>
      <c r="AC120" t="s">
        <v>81</v>
      </c>
      <c r="AD120" t="s">
        <v>128</v>
      </c>
      <c r="AE120" t="s">
        <v>173</v>
      </c>
      <c r="AF120" t="s">
        <v>50</v>
      </c>
      <c r="AG120" t="s">
        <v>128</v>
      </c>
      <c r="AH120" t="s">
        <v>84</v>
      </c>
      <c r="AI120" t="s">
        <v>64</v>
      </c>
      <c r="AJ120" t="s">
        <v>84</v>
      </c>
      <c r="AK120" t="s">
        <v>84</v>
      </c>
      <c r="AL120" t="s">
        <v>84</v>
      </c>
      <c r="AM120" t="s">
        <v>65</v>
      </c>
    </row>
    <row r="121" spans="1:39">
      <c r="A121">
        <v>128</v>
      </c>
      <c r="B121" s="1">
        <v>46138.752870370401</v>
      </c>
      <c r="C121" s="1">
        <v>46138.755914351903</v>
      </c>
      <c r="D121" t="s">
        <v>39</v>
      </c>
      <c r="F121" s="1"/>
      <c r="G121" t="s">
        <v>124</v>
      </c>
      <c r="H121" t="s">
        <v>41</v>
      </c>
      <c r="I121" t="s">
        <v>382</v>
      </c>
      <c r="J121" t="s">
        <v>43</v>
      </c>
      <c r="K121" t="s">
        <v>198</v>
      </c>
      <c r="L121" s="2" t="s">
        <v>88</v>
      </c>
      <c r="M121" s="2" t="s">
        <v>46</v>
      </c>
      <c r="N121" t="s">
        <v>47</v>
      </c>
      <c r="O121" t="s">
        <v>135</v>
      </c>
      <c r="P121" t="s">
        <v>49</v>
      </c>
      <c r="Q121" t="s">
        <v>93</v>
      </c>
      <c r="R121" t="s">
        <v>103</v>
      </c>
      <c r="S121" s="2" t="s">
        <v>343</v>
      </c>
      <c r="T121" t="s">
        <v>91</v>
      </c>
      <c r="U121" t="s">
        <v>121</v>
      </c>
      <c r="V121" t="s">
        <v>53</v>
      </c>
      <c r="W121" t="s">
        <v>105</v>
      </c>
      <c r="X121" t="s">
        <v>383</v>
      </c>
      <c r="Y121" t="s">
        <v>56</v>
      </c>
      <c r="Z121" t="s">
        <v>56</v>
      </c>
      <c r="AA121" t="s">
        <v>151</v>
      </c>
      <c r="AB121" s="2" t="s">
        <v>70</v>
      </c>
      <c r="AC121" t="s">
        <v>81</v>
      </c>
      <c r="AD121" t="s">
        <v>82</v>
      </c>
      <c r="AE121" t="s">
        <v>118</v>
      </c>
      <c r="AF121" t="s">
        <v>53</v>
      </c>
      <c r="AG121" t="s">
        <v>83</v>
      </c>
      <c r="AH121" t="s">
        <v>64</v>
      </c>
      <c r="AI121" t="s">
        <v>64</v>
      </c>
      <c r="AJ121" t="s">
        <v>84</v>
      </c>
      <c r="AK121" t="s">
        <v>64</v>
      </c>
      <c r="AL121" t="s">
        <v>65</v>
      </c>
      <c r="AM121" t="s">
        <v>64</v>
      </c>
    </row>
    <row r="122" spans="1:39">
      <c r="A122">
        <v>129</v>
      </c>
      <c r="B122" s="1">
        <v>46138.756030092598</v>
      </c>
      <c r="C122" s="1">
        <v>46138.7585763889</v>
      </c>
      <c r="D122" t="s">
        <v>39</v>
      </c>
      <c r="F122" s="1"/>
      <c r="G122" t="s">
        <v>85</v>
      </c>
      <c r="H122" t="s">
        <v>86</v>
      </c>
      <c r="I122" t="s">
        <v>384</v>
      </c>
      <c r="J122" t="s">
        <v>68</v>
      </c>
      <c r="K122" t="s">
        <v>349</v>
      </c>
      <c r="L122" s="2" t="s">
        <v>59</v>
      </c>
      <c r="M122" s="2" t="s">
        <v>102</v>
      </c>
      <c r="N122" t="s">
        <v>72</v>
      </c>
      <c r="O122" t="s">
        <v>135</v>
      </c>
      <c r="P122" t="s">
        <v>148</v>
      </c>
      <c r="Q122" t="s">
        <v>103</v>
      </c>
      <c r="R122" t="s">
        <v>50</v>
      </c>
      <c r="S122" s="2" t="s">
        <v>59</v>
      </c>
      <c r="T122" t="s">
        <v>74</v>
      </c>
      <c r="U122" t="s">
        <v>75</v>
      </c>
      <c r="V122" t="s">
        <v>53</v>
      </c>
      <c r="W122" t="s">
        <v>54</v>
      </c>
      <c r="X122" t="s">
        <v>363</v>
      </c>
      <c r="Y122" t="s">
        <v>56</v>
      </c>
      <c r="Z122" t="s">
        <v>56</v>
      </c>
      <c r="AA122" t="s">
        <v>151</v>
      </c>
      <c r="AB122" s="2" t="s">
        <v>70</v>
      </c>
      <c r="AC122" t="s">
        <v>60</v>
      </c>
      <c r="AD122" t="s">
        <v>82</v>
      </c>
      <c r="AE122" t="s">
        <v>173</v>
      </c>
      <c r="AF122" t="s">
        <v>53</v>
      </c>
      <c r="AG122" t="s">
        <v>83</v>
      </c>
      <c r="AH122" t="s">
        <v>84</v>
      </c>
      <c r="AI122" t="s">
        <v>64</v>
      </c>
      <c r="AJ122" t="s">
        <v>64</v>
      </c>
      <c r="AK122" t="s">
        <v>65</v>
      </c>
      <c r="AL122" t="s">
        <v>65</v>
      </c>
      <c r="AM122" t="s">
        <v>66</v>
      </c>
    </row>
    <row r="123" spans="1:39">
      <c r="A123">
        <v>130</v>
      </c>
      <c r="B123" s="1">
        <v>46138.758877314802</v>
      </c>
      <c r="C123" s="1">
        <v>46138.760891203703</v>
      </c>
      <c r="D123" t="s">
        <v>39</v>
      </c>
      <c r="F123" s="1"/>
      <c r="G123" t="s">
        <v>85</v>
      </c>
      <c r="H123" t="s">
        <v>41</v>
      </c>
      <c r="I123" t="s">
        <v>145</v>
      </c>
      <c r="J123" t="s">
        <v>68</v>
      </c>
      <c r="K123" t="s">
        <v>69</v>
      </c>
      <c r="L123" s="2" t="s">
        <v>130</v>
      </c>
      <c r="M123" s="2" t="s">
        <v>366</v>
      </c>
      <c r="N123" t="s">
        <v>110</v>
      </c>
      <c r="O123" t="s">
        <v>73</v>
      </c>
      <c r="P123" t="s">
        <v>49</v>
      </c>
      <c r="Q123" t="s">
        <v>103</v>
      </c>
      <c r="R123" t="s">
        <v>103</v>
      </c>
      <c r="S123" s="2" t="s">
        <v>355</v>
      </c>
      <c r="T123" t="s">
        <v>104</v>
      </c>
      <c r="U123" t="s">
        <v>92</v>
      </c>
      <c r="V123" t="s">
        <v>50</v>
      </c>
      <c r="W123" t="s">
        <v>122</v>
      </c>
      <c r="X123" t="s">
        <v>176</v>
      </c>
      <c r="Y123" t="s">
        <v>56</v>
      </c>
      <c r="Z123" t="s">
        <v>57</v>
      </c>
      <c r="AA123" t="s">
        <v>79</v>
      </c>
      <c r="AB123" s="2" t="s">
        <v>80</v>
      </c>
      <c r="AC123" t="s">
        <v>81</v>
      </c>
      <c r="AD123" t="s">
        <v>61</v>
      </c>
      <c r="AE123" t="s">
        <v>118</v>
      </c>
      <c r="AF123" t="s">
        <v>53</v>
      </c>
      <c r="AG123" t="s">
        <v>83</v>
      </c>
      <c r="AH123" t="s">
        <v>84</v>
      </c>
      <c r="AI123" t="s">
        <v>64</v>
      </c>
      <c r="AJ123" t="s">
        <v>64</v>
      </c>
      <c r="AK123" t="s">
        <v>65</v>
      </c>
      <c r="AL123" t="s">
        <v>65</v>
      </c>
      <c r="AM123" t="s">
        <v>64</v>
      </c>
    </row>
    <row r="124" spans="1:39">
      <c r="A124">
        <v>131</v>
      </c>
      <c r="B124" s="1">
        <v>46138.761111111096</v>
      </c>
      <c r="C124" s="1">
        <v>46138.764374999999</v>
      </c>
      <c r="D124" t="s">
        <v>39</v>
      </c>
      <c r="F124" s="1"/>
      <c r="G124" t="s">
        <v>272</v>
      </c>
      <c r="H124" t="s">
        <v>86</v>
      </c>
      <c r="I124" t="s">
        <v>385</v>
      </c>
      <c r="J124" t="s">
        <v>68</v>
      </c>
      <c r="K124" t="s">
        <v>349</v>
      </c>
      <c r="L124" s="2" t="s">
        <v>218</v>
      </c>
      <c r="M124" s="2" t="s">
        <v>308</v>
      </c>
      <c r="N124" t="s">
        <v>189</v>
      </c>
      <c r="O124" t="s">
        <v>90</v>
      </c>
      <c r="P124" t="s">
        <v>167</v>
      </c>
      <c r="Q124" t="s">
        <v>63</v>
      </c>
      <c r="R124" t="s">
        <v>63</v>
      </c>
      <c r="S124" s="2" t="s">
        <v>142</v>
      </c>
      <c r="T124" t="s">
        <v>51</v>
      </c>
      <c r="U124" t="s">
        <v>75</v>
      </c>
      <c r="V124" t="s">
        <v>53</v>
      </c>
      <c r="W124" t="s">
        <v>116</v>
      </c>
      <c r="X124" t="s">
        <v>386</v>
      </c>
      <c r="Y124" t="s">
        <v>78</v>
      </c>
      <c r="Z124" t="s">
        <v>56</v>
      </c>
      <c r="AA124" t="s">
        <v>58</v>
      </c>
      <c r="AB124" s="2" t="s">
        <v>142</v>
      </c>
      <c r="AC124" t="s">
        <v>60</v>
      </c>
      <c r="AD124" t="s">
        <v>82</v>
      </c>
      <c r="AE124" t="s">
        <v>107</v>
      </c>
      <c r="AF124" t="s">
        <v>103</v>
      </c>
      <c r="AG124" t="s">
        <v>128</v>
      </c>
      <c r="AH124" t="s">
        <v>64</v>
      </c>
      <c r="AI124" t="s">
        <v>65</v>
      </c>
      <c r="AJ124" t="s">
        <v>64</v>
      </c>
      <c r="AK124" t="s">
        <v>65</v>
      </c>
      <c r="AL124" t="s">
        <v>65</v>
      </c>
      <c r="AM124" t="s">
        <v>66</v>
      </c>
    </row>
    <row r="125" spans="1:39">
      <c r="A125">
        <v>132</v>
      </c>
      <c r="B125" s="1">
        <v>46138.768449074101</v>
      </c>
      <c r="C125" s="1">
        <v>46138.772349537001</v>
      </c>
      <c r="D125" t="s">
        <v>39</v>
      </c>
      <c r="F125" s="1"/>
      <c r="G125" t="s">
        <v>40</v>
      </c>
      <c r="H125" t="s">
        <v>86</v>
      </c>
      <c r="I125" t="s">
        <v>276</v>
      </c>
      <c r="J125" t="s">
        <v>43</v>
      </c>
      <c r="K125" t="s">
        <v>342</v>
      </c>
      <c r="L125" s="2" t="s">
        <v>257</v>
      </c>
      <c r="M125" s="2" t="s">
        <v>186</v>
      </c>
      <c r="N125" t="s">
        <v>89</v>
      </c>
      <c r="O125" t="s">
        <v>73</v>
      </c>
      <c r="P125" t="s">
        <v>148</v>
      </c>
      <c r="Q125" t="s">
        <v>93</v>
      </c>
      <c r="R125" t="s">
        <v>93</v>
      </c>
      <c r="S125" s="2" t="s">
        <v>258</v>
      </c>
      <c r="T125" t="s">
        <v>104</v>
      </c>
      <c r="U125" t="s">
        <v>75</v>
      </c>
      <c r="V125" t="s">
        <v>63</v>
      </c>
      <c r="W125" t="s">
        <v>122</v>
      </c>
      <c r="X125" t="s">
        <v>387</v>
      </c>
      <c r="Y125" t="s">
        <v>56</v>
      </c>
      <c r="Z125" t="s">
        <v>57</v>
      </c>
      <c r="AA125" t="s">
        <v>388</v>
      </c>
      <c r="AB125" s="2" t="s">
        <v>70</v>
      </c>
      <c r="AC125" t="s">
        <v>96</v>
      </c>
      <c r="AD125" t="s">
        <v>128</v>
      </c>
      <c r="AE125" t="s">
        <v>118</v>
      </c>
      <c r="AF125" t="s">
        <v>53</v>
      </c>
      <c r="AG125" t="s">
        <v>83</v>
      </c>
      <c r="AH125" t="s">
        <v>84</v>
      </c>
      <c r="AI125" t="s">
        <v>64</v>
      </c>
      <c r="AJ125" t="s">
        <v>84</v>
      </c>
      <c r="AK125" t="s">
        <v>84</v>
      </c>
      <c r="AL125" t="s">
        <v>64</v>
      </c>
      <c r="AM125" t="s">
        <v>84</v>
      </c>
    </row>
    <row r="126" spans="1:39">
      <c r="A126">
        <v>133</v>
      </c>
      <c r="B126" s="1">
        <v>46138.772395833301</v>
      </c>
      <c r="C126" s="1">
        <v>46138.774386574099</v>
      </c>
      <c r="D126" t="s">
        <v>39</v>
      </c>
      <c r="F126" s="1"/>
      <c r="G126" t="s">
        <v>272</v>
      </c>
      <c r="H126" t="s">
        <v>264</v>
      </c>
      <c r="I126" t="s">
        <v>264</v>
      </c>
      <c r="J126" t="s">
        <v>68</v>
      </c>
      <c r="K126" t="s">
        <v>101</v>
      </c>
      <c r="L126" s="2" t="s">
        <v>339</v>
      </c>
      <c r="M126" s="2" t="s">
        <v>46</v>
      </c>
      <c r="N126" t="s">
        <v>72</v>
      </c>
      <c r="O126" t="s">
        <v>48</v>
      </c>
      <c r="P126" t="s">
        <v>49</v>
      </c>
      <c r="Q126" t="s">
        <v>63</v>
      </c>
      <c r="R126" t="s">
        <v>63</v>
      </c>
      <c r="S126" s="2" t="s">
        <v>142</v>
      </c>
      <c r="T126" t="s">
        <v>51</v>
      </c>
      <c r="U126" t="s">
        <v>75</v>
      </c>
      <c r="V126" t="s">
        <v>50</v>
      </c>
      <c r="W126" t="s">
        <v>116</v>
      </c>
      <c r="X126" t="s">
        <v>361</v>
      </c>
      <c r="Y126" t="s">
        <v>78</v>
      </c>
      <c r="Z126" t="s">
        <v>56</v>
      </c>
      <c r="AA126" t="s">
        <v>95</v>
      </c>
      <c r="AB126" s="2" t="s">
        <v>142</v>
      </c>
      <c r="AC126" t="s">
        <v>113</v>
      </c>
      <c r="AD126" t="s">
        <v>82</v>
      </c>
      <c r="AE126" t="s">
        <v>97</v>
      </c>
      <c r="AF126" t="s">
        <v>103</v>
      </c>
      <c r="AG126" t="s">
        <v>128</v>
      </c>
      <c r="AH126" t="s">
        <v>66</v>
      </c>
      <c r="AI126" t="s">
        <v>66</v>
      </c>
      <c r="AJ126" t="s">
        <v>65</v>
      </c>
      <c r="AK126" t="s">
        <v>66</v>
      </c>
      <c r="AL126" t="s">
        <v>65</v>
      </c>
      <c r="AM126" t="s">
        <v>65</v>
      </c>
    </row>
    <row r="127" spans="1:39">
      <c r="A127">
        <v>134</v>
      </c>
      <c r="B127" s="1">
        <v>46138.774780092601</v>
      </c>
      <c r="C127" s="1">
        <v>46138.776377314804</v>
      </c>
      <c r="D127" t="s">
        <v>39</v>
      </c>
      <c r="F127" s="1"/>
      <c r="G127" t="s">
        <v>98</v>
      </c>
      <c r="H127" t="s">
        <v>41</v>
      </c>
      <c r="I127" t="s">
        <v>125</v>
      </c>
      <c r="J127" t="s">
        <v>43</v>
      </c>
      <c r="K127" t="s">
        <v>198</v>
      </c>
      <c r="L127" s="2" t="s">
        <v>332</v>
      </c>
      <c r="M127" s="2" t="s">
        <v>147</v>
      </c>
      <c r="N127" t="s">
        <v>47</v>
      </c>
      <c r="O127" t="s">
        <v>48</v>
      </c>
      <c r="P127" t="s">
        <v>148</v>
      </c>
      <c r="Q127" t="s">
        <v>50</v>
      </c>
      <c r="R127" t="s">
        <v>53</v>
      </c>
      <c r="S127" s="2" t="s">
        <v>80</v>
      </c>
      <c r="T127" t="s">
        <v>91</v>
      </c>
      <c r="U127" t="s">
        <v>121</v>
      </c>
      <c r="V127" t="s">
        <v>63</v>
      </c>
      <c r="W127" t="s">
        <v>54</v>
      </c>
      <c r="X127" t="s">
        <v>77</v>
      </c>
      <c r="Y127" t="s">
        <v>78</v>
      </c>
      <c r="Z127" t="s">
        <v>78</v>
      </c>
      <c r="AA127" t="s">
        <v>58</v>
      </c>
      <c r="AB127" s="2" t="s">
        <v>59</v>
      </c>
      <c r="AC127" t="s">
        <v>81</v>
      </c>
      <c r="AD127" t="s">
        <v>82</v>
      </c>
      <c r="AE127" t="s">
        <v>107</v>
      </c>
      <c r="AF127" t="s">
        <v>50</v>
      </c>
      <c r="AG127" t="s">
        <v>83</v>
      </c>
      <c r="AH127" t="s">
        <v>65</v>
      </c>
      <c r="AI127" t="s">
        <v>64</v>
      </c>
      <c r="AJ127" t="s">
        <v>65</v>
      </c>
      <c r="AK127" t="s">
        <v>65</v>
      </c>
      <c r="AL127" t="s">
        <v>64</v>
      </c>
      <c r="AM127" t="s">
        <v>64</v>
      </c>
    </row>
    <row r="128" spans="1:39">
      <c r="A128">
        <v>135</v>
      </c>
      <c r="B128" s="1">
        <v>46138.776400463001</v>
      </c>
      <c r="C128" s="1">
        <v>46138.784259259301</v>
      </c>
      <c r="D128" t="s">
        <v>39</v>
      </c>
      <c r="F128" s="1"/>
      <c r="G128" t="s">
        <v>85</v>
      </c>
      <c r="H128" t="s">
        <v>41</v>
      </c>
      <c r="I128" t="s">
        <v>375</v>
      </c>
      <c r="J128" t="s">
        <v>43</v>
      </c>
      <c r="K128" t="s">
        <v>101</v>
      </c>
      <c r="L128" s="2" t="s">
        <v>88</v>
      </c>
      <c r="M128" s="2" t="s">
        <v>343</v>
      </c>
      <c r="N128" t="s">
        <v>110</v>
      </c>
      <c r="O128" t="s">
        <v>243</v>
      </c>
      <c r="P128" t="s">
        <v>49</v>
      </c>
      <c r="Q128" t="s">
        <v>103</v>
      </c>
      <c r="R128" t="s">
        <v>93</v>
      </c>
      <c r="S128" s="2" t="s">
        <v>186</v>
      </c>
      <c r="T128" t="s">
        <v>104</v>
      </c>
      <c r="U128" t="s">
        <v>92</v>
      </c>
      <c r="V128" t="s">
        <v>53</v>
      </c>
      <c r="W128" t="s">
        <v>122</v>
      </c>
      <c r="X128" t="s">
        <v>389</v>
      </c>
      <c r="Y128" t="s">
        <v>57</v>
      </c>
      <c r="Z128" t="s">
        <v>57</v>
      </c>
      <c r="AA128" t="s">
        <v>229</v>
      </c>
      <c r="AB128" s="2" t="s">
        <v>80</v>
      </c>
      <c r="AC128" t="s">
        <v>113</v>
      </c>
      <c r="AD128" t="s">
        <v>82</v>
      </c>
      <c r="AE128" t="s">
        <v>107</v>
      </c>
      <c r="AF128" t="s">
        <v>103</v>
      </c>
      <c r="AG128" t="s">
        <v>83</v>
      </c>
      <c r="AH128" t="s">
        <v>65</v>
      </c>
      <c r="AI128" t="s">
        <v>84</v>
      </c>
      <c r="AJ128" t="s">
        <v>84</v>
      </c>
      <c r="AK128" t="s">
        <v>64</v>
      </c>
      <c r="AL128" t="s">
        <v>84</v>
      </c>
      <c r="AM128" t="s">
        <v>84</v>
      </c>
    </row>
    <row r="129" spans="1:39">
      <c r="A129">
        <v>136</v>
      </c>
      <c r="B129" s="1">
        <v>46138.784409722197</v>
      </c>
      <c r="C129" s="1">
        <v>46138.785972222198</v>
      </c>
      <c r="D129" t="s">
        <v>39</v>
      </c>
      <c r="F129" s="1"/>
      <c r="G129" t="s">
        <v>272</v>
      </c>
      <c r="H129" t="s">
        <v>86</v>
      </c>
      <c r="I129" t="s">
        <v>276</v>
      </c>
      <c r="J129" t="s">
        <v>68</v>
      </c>
      <c r="K129" t="s">
        <v>44</v>
      </c>
      <c r="L129" s="2" t="s">
        <v>390</v>
      </c>
      <c r="M129" s="2" t="s">
        <v>46</v>
      </c>
      <c r="N129" t="s">
        <v>72</v>
      </c>
      <c r="O129" t="s">
        <v>90</v>
      </c>
      <c r="P129" t="s">
        <v>167</v>
      </c>
      <c r="Q129" t="s">
        <v>53</v>
      </c>
      <c r="R129" t="s">
        <v>53</v>
      </c>
      <c r="S129" s="2" t="s">
        <v>59</v>
      </c>
      <c r="T129" t="s">
        <v>74</v>
      </c>
      <c r="U129" t="s">
        <v>75</v>
      </c>
      <c r="V129" t="s">
        <v>50</v>
      </c>
      <c r="W129" t="s">
        <v>54</v>
      </c>
      <c r="X129" t="s">
        <v>352</v>
      </c>
      <c r="Y129" t="s">
        <v>78</v>
      </c>
      <c r="Z129" t="s">
        <v>56</v>
      </c>
      <c r="AA129" t="s">
        <v>58</v>
      </c>
      <c r="AB129" s="2" t="s">
        <v>142</v>
      </c>
      <c r="AC129" t="s">
        <v>96</v>
      </c>
      <c r="AD129" t="s">
        <v>61</v>
      </c>
      <c r="AE129" t="s">
        <v>118</v>
      </c>
      <c r="AF129" t="s">
        <v>63</v>
      </c>
      <c r="AG129" t="s">
        <v>178</v>
      </c>
      <c r="AH129" t="s">
        <v>66</v>
      </c>
      <c r="AI129" t="s">
        <v>65</v>
      </c>
      <c r="AJ129" t="s">
        <v>66</v>
      </c>
      <c r="AK129" t="s">
        <v>65</v>
      </c>
      <c r="AL129" t="s">
        <v>66</v>
      </c>
      <c r="AM129" t="s">
        <v>66</v>
      </c>
    </row>
    <row r="130" spans="1:39">
      <c r="A130">
        <v>137</v>
      </c>
      <c r="B130" s="1">
        <v>46138.785995370403</v>
      </c>
      <c r="C130" s="1">
        <v>46138.787523148101</v>
      </c>
      <c r="D130" t="s">
        <v>39</v>
      </c>
      <c r="F130" s="1"/>
      <c r="G130" t="s">
        <v>40</v>
      </c>
      <c r="H130" t="s">
        <v>41</v>
      </c>
      <c r="I130" t="s">
        <v>336</v>
      </c>
      <c r="J130" t="s">
        <v>43</v>
      </c>
      <c r="K130" t="s">
        <v>198</v>
      </c>
      <c r="L130" s="2" t="s">
        <v>130</v>
      </c>
      <c r="M130" s="2" t="s">
        <v>258</v>
      </c>
      <c r="N130" t="s">
        <v>189</v>
      </c>
      <c r="O130" t="s">
        <v>243</v>
      </c>
      <c r="P130" t="s">
        <v>49</v>
      </c>
      <c r="Q130" t="s">
        <v>50</v>
      </c>
      <c r="R130" t="s">
        <v>50</v>
      </c>
      <c r="S130" s="2" t="s">
        <v>71</v>
      </c>
      <c r="T130" t="s">
        <v>91</v>
      </c>
      <c r="U130" t="s">
        <v>75</v>
      </c>
      <c r="V130" t="s">
        <v>103</v>
      </c>
      <c r="W130" t="s">
        <v>76</v>
      </c>
      <c r="X130" t="s">
        <v>391</v>
      </c>
      <c r="Y130" t="s">
        <v>56</v>
      </c>
      <c r="Z130" t="s">
        <v>78</v>
      </c>
      <c r="AA130" t="s">
        <v>151</v>
      </c>
      <c r="AB130" s="2" t="s">
        <v>70</v>
      </c>
      <c r="AC130" t="s">
        <v>113</v>
      </c>
      <c r="AD130" t="s">
        <v>82</v>
      </c>
      <c r="AE130" t="s">
        <v>97</v>
      </c>
      <c r="AF130" t="s">
        <v>53</v>
      </c>
      <c r="AG130" t="s">
        <v>83</v>
      </c>
      <c r="AH130" t="s">
        <v>84</v>
      </c>
      <c r="AI130" t="s">
        <v>84</v>
      </c>
      <c r="AJ130" t="s">
        <v>84</v>
      </c>
      <c r="AK130" t="s">
        <v>64</v>
      </c>
      <c r="AL130" t="s">
        <v>84</v>
      </c>
      <c r="AM130" t="s">
        <v>84</v>
      </c>
    </row>
    <row r="131" spans="1:39">
      <c r="A131">
        <v>138</v>
      </c>
      <c r="B131" s="1">
        <v>46138.787604166697</v>
      </c>
      <c r="C131" s="1">
        <v>46138.791226851798</v>
      </c>
      <c r="D131" t="s">
        <v>39</v>
      </c>
      <c r="F131" s="1"/>
      <c r="G131" t="s">
        <v>124</v>
      </c>
      <c r="H131" t="s">
        <v>86</v>
      </c>
      <c r="I131" t="s">
        <v>392</v>
      </c>
      <c r="J131" t="s">
        <v>43</v>
      </c>
      <c r="K131" t="s">
        <v>349</v>
      </c>
      <c r="L131" s="2" t="s">
        <v>59</v>
      </c>
      <c r="M131" s="2" t="s">
        <v>147</v>
      </c>
      <c r="N131" t="s">
        <v>72</v>
      </c>
      <c r="O131" t="s">
        <v>135</v>
      </c>
      <c r="P131" t="s">
        <v>49</v>
      </c>
      <c r="Q131" t="s">
        <v>103</v>
      </c>
      <c r="R131" t="s">
        <v>103</v>
      </c>
      <c r="S131" s="2" t="s">
        <v>70</v>
      </c>
      <c r="T131" t="s">
        <v>74</v>
      </c>
      <c r="U131" t="s">
        <v>92</v>
      </c>
      <c r="V131" t="s">
        <v>50</v>
      </c>
      <c r="W131" t="s">
        <v>122</v>
      </c>
      <c r="X131" t="s">
        <v>350</v>
      </c>
      <c r="Y131" t="s">
        <v>57</v>
      </c>
      <c r="Z131" t="s">
        <v>78</v>
      </c>
      <c r="AA131" t="s">
        <v>112</v>
      </c>
      <c r="AB131" s="2" t="s">
        <v>59</v>
      </c>
      <c r="AC131" t="s">
        <v>96</v>
      </c>
      <c r="AD131" t="s">
        <v>61</v>
      </c>
      <c r="AE131" t="s">
        <v>118</v>
      </c>
      <c r="AF131" t="s">
        <v>53</v>
      </c>
      <c r="AG131" t="s">
        <v>61</v>
      </c>
      <c r="AH131" t="s">
        <v>65</v>
      </c>
      <c r="AI131" t="s">
        <v>64</v>
      </c>
      <c r="AJ131" t="s">
        <v>65</v>
      </c>
      <c r="AK131" t="s">
        <v>64</v>
      </c>
      <c r="AL131" t="s">
        <v>65</v>
      </c>
      <c r="AM131" t="s">
        <v>64</v>
      </c>
    </row>
    <row r="132" spans="1:39">
      <c r="A132">
        <v>139</v>
      </c>
      <c r="B132" s="1">
        <v>46138.791250000002</v>
      </c>
      <c r="C132" s="1">
        <v>46138.792534722197</v>
      </c>
      <c r="D132" t="s">
        <v>39</v>
      </c>
      <c r="F132" s="1"/>
      <c r="G132" t="s">
        <v>98</v>
      </c>
      <c r="H132" t="s">
        <v>41</v>
      </c>
      <c r="I132" t="s">
        <v>125</v>
      </c>
      <c r="J132" t="s">
        <v>68</v>
      </c>
      <c r="K132" t="s">
        <v>342</v>
      </c>
      <c r="L132" s="2" t="s">
        <v>175</v>
      </c>
      <c r="M132" s="2" t="s">
        <v>46</v>
      </c>
      <c r="N132" t="s">
        <v>47</v>
      </c>
      <c r="O132" t="s">
        <v>48</v>
      </c>
      <c r="P132" t="s">
        <v>49</v>
      </c>
      <c r="Q132" t="s">
        <v>50</v>
      </c>
      <c r="R132" t="s">
        <v>50</v>
      </c>
      <c r="S132" s="2" t="s">
        <v>80</v>
      </c>
      <c r="T132" t="s">
        <v>91</v>
      </c>
      <c r="U132" t="s">
        <v>75</v>
      </c>
      <c r="V132" t="s">
        <v>50</v>
      </c>
      <c r="W132" t="s">
        <v>116</v>
      </c>
      <c r="X132" t="s">
        <v>183</v>
      </c>
      <c r="Y132" t="s">
        <v>56</v>
      </c>
      <c r="Z132" t="s">
        <v>56</v>
      </c>
      <c r="AA132" t="s">
        <v>58</v>
      </c>
      <c r="AB132" s="2" t="s">
        <v>70</v>
      </c>
      <c r="AC132" t="s">
        <v>202</v>
      </c>
      <c r="AD132" t="s">
        <v>82</v>
      </c>
      <c r="AE132" t="s">
        <v>118</v>
      </c>
      <c r="AF132" t="s">
        <v>50</v>
      </c>
      <c r="AG132" t="s">
        <v>61</v>
      </c>
      <c r="AH132" t="s">
        <v>64</v>
      </c>
      <c r="AI132" t="s">
        <v>64</v>
      </c>
      <c r="AJ132" t="s">
        <v>64</v>
      </c>
      <c r="AK132" t="s">
        <v>65</v>
      </c>
      <c r="AL132" t="s">
        <v>64</v>
      </c>
      <c r="AM132" t="s">
        <v>64</v>
      </c>
    </row>
    <row r="133" spans="1:39">
      <c r="A133">
        <v>140</v>
      </c>
      <c r="B133" s="1">
        <v>46138.792557870402</v>
      </c>
      <c r="C133" s="1">
        <v>46138.793865740699</v>
      </c>
      <c r="D133" t="s">
        <v>39</v>
      </c>
      <c r="F133" s="1"/>
      <c r="G133" t="s">
        <v>85</v>
      </c>
      <c r="H133" t="s">
        <v>86</v>
      </c>
      <c r="I133" t="s">
        <v>276</v>
      </c>
      <c r="J133" t="s">
        <v>43</v>
      </c>
      <c r="K133" t="s">
        <v>101</v>
      </c>
      <c r="L133" s="2" t="s">
        <v>120</v>
      </c>
      <c r="M133" s="2" t="s">
        <v>308</v>
      </c>
      <c r="N133" t="s">
        <v>189</v>
      </c>
      <c r="O133" t="s">
        <v>90</v>
      </c>
      <c r="P133" t="s">
        <v>167</v>
      </c>
      <c r="Q133" t="s">
        <v>50</v>
      </c>
      <c r="R133" t="s">
        <v>103</v>
      </c>
      <c r="S133" s="2" t="s">
        <v>355</v>
      </c>
      <c r="T133" t="s">
        <v>91</v>
      </c>
      <c r="U133" t="s">
        <v>75</v>
      </c>
      <c r="V133" t="s">
        <v>53</v>
      </c>
      <c r="W133" t="s">
        <v>105</v>
      </c>
      <c r="X133" t="s">
        <v>393</v>
      </c>
      <c r="Y133" t="s">
        <v>56</v>
      </c>
      <c r="Z133" t="s">
        <v>56</v>
      </c>
      <c r="AA133" t="s">
        <v>151</v>
      </c>
      <c r="AB133" s="2" t="s">
        <v>70</v>
      </c>
      <c r="AC133" t="s">
        <v>113</v>
      </c>
      <c r="AD133" t="s">
        <v>82</v>
      </c>
      <c r="AE133" t="s">
        <v>97</v>
      </c>
      <c r="AF133" t="s">
        <v>53</v>
      </c>
      <c r="AG133" t="s">
        <v>83</v>
      </c>
      <c r="AH133" t="s">
        <v>64</v>
      </c>
      <c r="AI133" t="s">
        <v>84</v>
      </c>
      <c r="AJ133" t="s">
        <v>64</v>
      </c>
      <c r="AK133" t="s">
        <v>84</v>
      </c>
      <c r="AL133" t="s">
        <v>64</v>
      </c>
      <c r="AM133" t="s">
        <v>84</v>
      </c>
    </row>
    <row r="134" spans="1:39">
      <c r="A134">
        <v>141</v>
      </c>
      <c r="B134" s="1">
        <v>46138.793946759302</v>
      </c>
      <c r="C134" s="1">
        <v>46138.795196759304</v>
      </c>
      <c r="D134" t="s">
        <v>39</v>
      </c>
      <c r="F134" s="1"/>
      <c r="G134" t="s">
        <v>272</v>
      </c>
      <c r="H134" t="s">
        <v>41</v>
      </c>
      <c r="I134" t="s">
        <v>336</v>
      </c>
      <c r="J134" t="s">
        <v>68</v>
      </c>
      <c r="K134" t="s">
        <v>44</v>
      </c>
      <c r="L134" s="2" t="s">
        <v>218</v>
      </c>
      <c r="M134" s="2" t="s">
        <v>46</v>
      </c>
      <c r="N134" t="s">
        <v>189</v>
      </c>
      <c r="O134" t="s">
        <v>73</v>
      </c>
      <c r="P134" t="s">
        <v>148</v>
      </c>
      <c r="Q134" t="s">
        <v>53</v>
      </c>
      <c r="R134" t="s">
        <v>63</v>
      </c>
      <c r="S134" s="2" t="s">
        <v>59</v>
      </c>
      <c r="T134" t="s">
        <v>51</v>
      </c>
      <c r="U134" t="s">
        <v>75</v>
      </c>
      <c r="V134" t="s">
        <v>53</v>
      </c>
      <c r="W134" t="s">
        <v>54</v>
      </c>
      <c r="X134" t="s">
        <v>363</v>
      </c>
      <c r="Y134" t="s">
        <v>78</v>
      </c>
      <c r="Z134" t="s">
        <v>56</v>
      </c>
      <c r="AA134" t="s">
        <v>112</v>
      </c>
      <c r="AB134" s="2" t="s">
        <v>142</v>
      </c>
      <c r="AC134" t="s">
        <v>96</v>
      </c>
      <c r="AD134" t="s">
        <v>82</v>
      </c>
      <c r="AE134" t="s">
        <v>118</v>
      </c>
      <c r="AF134" t="s">
        <v>50</v>
      </c>
      <c r="AG134" t="s">
        <v>83</v>
      </c>
      <c r="AH134" t="s">
        <v>65</v>
      </c>
      <c r="AI134" t="s">
        <v>66</v>
      </c>
      <c r="AJ134" t="s">
        <v>65</v>
      </c>
      <c r="AK134" t="s">
        <v>65</v>
      </c>
      <c r="AL134" t="s">
        <v>64</v>
      </c>
      <c r="AM134" t="s">
        <v>64</v>
      </c>
    </row>
    <row r="135" spans="1:39">
      <c r="A135">
        <v>142</v>
      </c>
      <c r="B135" s="1">
        <v>46138.795219907399</v>
      </c>
      <c r="C135" s="1">
        <v>46138.796724537002</v>
      </c>
      <c r="D135" t="s">
        <v>39</v>
      </c>
      <c r="F135" s="1"/>
      <c r="G135" t="s">
        <v>40</v>
      </c>
      <c r="H135" t="s">
        <v>41</v>
      </c>
      <c r="I135" t="s">
        <v>336</v>
      </c>
      <c r="J135" t="s">
        <v>43</v>
      </c>
      <c r="K135" t="s">
        <v>69</v>
      </c>
      <c r="L135" s="2" t="s">
        <v>70</v>
      </c>
      <c r="M135" s="2" t="s">
        <v>163</v>
      </c>
      <c r="N135" t="s">
        <v>47</v>
      </c>
      <c r="O135" t="s">
        <v>135</v>
      </c>
      <c r="P135" t="s">
        <v>49</v>
      </c>
      <c r="Q135" t="s">
        <v>63</v>
      </c>
      <c r="R135" t="s">
        <v>53</v>
      </c>
      <c r="S135" s="2" t="s">
        <v>59</v>
      </c>
      <c r="T135" t="s">
        <v>74</v>
      </c>
      <c r="U135" t="s">
        <v>75</v>
      </c>
      <c r="V135" t="s">
        <v>63</v>
      </c>
      <c r="W135" t="s">
        <v>54</v>
      </c>
      <c r="X135" t="s">
        <v>176</v>
      </c>
      <c r="Y135" t="s">
        <v>56</v>
      </c>
      <c r="Z135" t="s">
        <v>56</v>
      </c>
      <c r="AA135" t="s">
        <v>58</v>
      </c>
      <c r="AB135" s="2" t="s">
        <v>70</v>
      </c>
      <c r="AC135" t="s">
        <v>60</v>
      </c>
      <c r="AD135" t="s">
        <v>82</v>
      </c>
      <c r="AE135" t="s">
        <v>97</v>
      </c>
      <c r="AF135" t="s">
        <v>63</v>
      </c>
      <c r="AG135" t="s">
        <v>83</v>
      </c>
      <c r="AH135" t="s">
        <v>84</v>
      </c>
      <c r="AI135" t="s">
        <v>84</v>
      </c>
      <c r="AJ135" t="s">
        <v>84</v>
      </c>
      <c r="AK135" t="s">
        <v>84</v>
      </c>
      <c r="AL135" t="s">
        <v>84</v>
      </c>
      <c r="AM135" t="s">
        <v>84</v>
      </c>
    </row>
    <row r="136" spans="1:39">
      <c r="A136">
        <v>143</v>
      </c>
      <c r="B136" s="1">
        <v>46138.800590277802</v>
      </c>
      <c r="C136" s="1">
        <v>46138.803958333301</v>
      </c>
      <c r="D136" t="s">
        <v>39</v>
      </c>
      <c r="F136" s="1"/>
      <c r="G136" t="s">
        <v>40</v>
      </c>
      <c r="H136" t="s">
        <v>132</v>
      </c>
      <c r="I136" t="s">
        <v>375</v>
      </c>
      <c r="J136" t="s">
        <v>43</v>
      </c>
      <c r="K136" t="s">
        <v>44</v>
      </c>
      <c r="L136" s="2" t="s">
        <v>390</v>
      </c>
      <c r="M136" s="2" t="s">
        <v>115</v>
      </c>
      <c r="N136" t="s">
        <v>47</v>
      </c>
      <c r="O136" t="s">
        <v>73</v>
      </c>
      <c r="P136" t="s">
        <v>167</v>
      </c>
      <c r="Q136" t="s">
        <v>50</v>
      </c>
      <c r="R136" t="s">
        <v>50</v>
      </c>
      <c r="S136" s="2" t="s">
        <v>70</v>
      </c>
      <c r="T136" t="s">
        <v>51</v>
      </c>
      <c r="U136" t="s">
        <v>75</v>
      </c>
      <c r="V136" t="s">
        <v>50</v>
      </c>
      <c r="W136" t="s">
        <v>122</v>
      </c>
      <c r="X136" t="s">
        <v>350</v>
      </c>
      <c r="Y136" t="s">
        <v>78</v>
      </c>
      <c r="Z136" t="s">
        <v>56</v>
      </c>
      <c r="AA136" t="s">
        <v>112</v>
      </c>
      <c r="AB136" s="2" t="s">
        <v>142</v>
      </c>
      <c r="AC136" t="s">
        <v>96</v>
      </c>
      <c r="AD136" t="s">
        <v>82</v>
      </c>
      <c r="AE136" t="s">
        <v>118</v>
      </c>
      <c r="AF136" t="s">
        <v>53</v>
      </c>
      <c r="AG136" t="s">
        <v>83</v>
      </c>
      <c r="AH136" t="s">
        <v>84</v>
      </c>
      <c r="AI136" t="s">
        <v>84</v>
      </c>
      <c r="AJ136" t="s">
        <v>84</v>
      </c>
      <c r="AK136" t="s">
        <v>84</v>
      </c>
      <c r="AL136" t="s">
        <v>84</v>
      </c>
      <c r="AM136" t="s">
        <v>64</v>
      </c>
    </row>
    <row r="137" spans="1:39">
      <c r="A137">
        <v>144</v>
      </c>
      <c r="B137" s="1">
        <v>46138.799467592602</v>
      </c>
      <c r="C137" s="1">
        <v>46138.803981481498</v>
      </c>
      <c r="D137" t="s">
        <v>39</v>
      </c>
      <c r="F137" s="1"/>
      <c r="G137" t="s">
        <v>124</v>
      </c>
      <c r="H137" t="s">
        <v>318</v>
      </c>
      <c r="I137" t="s">
        <v>374</v>
      </c>
      <c r="J137" t="s">
        <v>68</v>
      </c>
      <c r="K137" t="s">
        <v>198</v>
      </c>
      <c r="L137" s="2" t="s">
        <v>218</v>
      </c>
      <c r="M137" s="2" t="s">
        <v>115</v>
      </c>
      <c r="N137" t="s">
        <v>89</v>
      </c>
      <c r="O137" t="s">
        <v>90</v>
      </c>
      <c r="P137" t="s">
        <v>148</v>
      </c>
      <c r="Q137" t="s">
        <v>53</v>
      </c>
      <c r="R137" t="s">
        <v>103</v>
      </c>
      <c r="S137" s="2" t="s">
        <v>258</v>
      </c>
      <c r="T137" t="s">
        <v>91</v>
      </c>
      <c r="U137" t="s">
        <v>121</v>
      </c>
      <c r="V137" t="s">
        <v>50</v>
      </c>
      <c r="W137" t="s">
        <v>116</v>
      </c>
      <c r="X137" t="s">
        <v>394</v>
      </c>
      <c r="Y137" t="s">
        <v>56</v>
      </c>
      <c r="Z137" t="s">
        <v>57</v>
      </c>
      <c r="AA137" t="s">
        <v>151</v>
      </c>
      <c r="AB137" s="2" t="s">
        <v>142</v>
      </c>
      <c r="AC137" t="s">
        <v>113</v>
      </c>
      <c r="AD137" t="s">
        <v>61</v>
      </c>
      <c r="AE137" t="s">
        <v>107</v>
      </c>
      <c r="AF137" t="s">
        <v>50</v>
      </c>
      <c r="AG137" t="s">
        <v>61</v>
      </c>
      <c r="AH137" t="s">
        <v>66</v>
      </c>
      <c r="AI137" t="s">
        <v>84</v>
      </c>
      <c r="AJ137" t="s">
        <v>64</v>
      </c>
      <c r="AK137" t="s">
        <v>66</v>
      </c>
      <c r="AL137" t="s">
        <v>65</v>
      </c>
      <c r="AM137" t="s">
        <v>64</v>
      </c>
    </row>
    <row r="138" spans="1:39">
      <c r="A138">
        <v>145</v>
      </c>
      <c r="B138" s="1">
        <v>46138.804004629601</v>
      </c>
      <c r="C138" s="1">
        <v>46138.808344907397</v>
      </c>
      <c r="D138" t="s">
        <v>39</v>
      </c>
      <c r="F138" s="1"/>
      <c r="G138" t="s">
        <v>272</v>
      </c>
      <c r="H138" t="s">
        <v>318</v>
      </c>
      <c r="I138" t="s">
        <v>374</v>
      </c>
      <c r="J138" t="s">
        <v>43</v>
      </c>
      <c r="K138" t="s">
        <v>349</v>
      </c>
      <c r="L138" s="2" t="s">
        <v>395</v>
      </c>
      <c r="M138" s="2" t="s">
        <v>70</v>
      </c>
      <c r="N138" t="s">
        <v>72</v>
      </c>
      <c r="O138" t="s">
        <v>135</v>
      </c>
      <c r="P138" t="s">
        <v>49</v>
      </c>
      <c r="Q138" t="s">
        <v>103</v>
      </c>
      <c r="R138" t="s">
        <v>63</v>
      </c>
      <c r="S138" s="2" t="s">
        <v>59</v>
      </c>
      <c r="T138" t="s">
        <v>154</v>
      </c>
      <c r="U138" t="s">
        <v>52</v>
      </c>
      <c r="V138" t="s">
        <v>103</v>
      </c>
      <c r="W138" t="s">
        <v>105</v>
      </c>
      <c r="X138" t="s">
        <v>350</v>
      </c>
      <c r="Y138" t="s">
        <v>57</v>
      </c>
      <c r="Z138" t="s">
        <v>78</v>
      </c>
      <c r="AA138" t="s">
        <v>334</v>
      </c>
      <c r="AB138" s="2" t="s">
        <v>169</v>
      </c>
      <c r="AC138" t="s">
        <v>113</v>
      </c>
      <c r="AD138" t="s">
        <v>82</v>
      </c>
      <c r="AE138" t="s">
        <v>97</v>
      </c>
      <c r="AF138" t="s">
        <v>53</v>
      </c>
      <c r="AG138" t="s">
        <v>83</v>
      </c>
      <c r="AH138" t="s">
        <v>193</v>
      </c>
      <c r="AI138" t="s">
        <v>64</v>
      </c>
      <c r="AJ138" t="s">
        <v>66</v>
      </c>
      <c r="AK138" t="s">
        <v>66</v>
      </c>
      <c r="AL138" t="s">
        <v>193</v>
      </c>
      <c r="AM138" t="s">
        <v>65</v>
      </c>
    </row>
    <row r="139" spans="1:39">
      <c r="A139">
        <v>146</v>
      </c>
      <c r="B139" s="1">
        <v>46138.8040162037</v>
      </c>
      <c r="C139" s="1">
        <v>46138.808495370402</v>
      </c>
      <c r="D139" t="s">
        <v>39</v>
      </c>
      <c r="F139" s="1"/>
      <c r="G139" t="s">
        <v>124</v>
      </c>
      <c r="H139" t="s">
        <v>318</v>
      </c>
      <c r="I139" t="s">
        <v>374</v>
      </c>
      <c r="J139" t="s">
        <v>43</v>
      </c>
      <c r="K139" t="s">
        <v>342</v>
      </c>
      <c r="L139" s="2" t="s">
        <v>120</v>
      </c>
      <c r="M139" s="2" t="s">
        <v>366</v>
      </c>
      <c r="N139" t="s">
        <v>72</v>
      </c>
      <c r="O139" t="s">
        <v>73</v>
      </c>
      <c r="P139" t="s">
        <v>49</v>
      </c>
      <c r="Q139" t="s">
        <v>53</v>
      </c>
      <c r="R139" t="s">
        <v>93</v>
      </c>
      <c r="S139" s="2" t="s">
        <v>355</v>
      </c>
      <c r="T139" t="s">
        <v>104</v>
      </c>
      <c r="U139" t="s">
        <v>92</v>
      </c>
      <c r="V139" t="s">
        <v>53</v>
      </c>
      <c r="W139" t="s">
        <v>105</v>
      </c>
      <c r="X139" t="s">
        <v>396</v>
      </c>
      <c r="Y139" t="s">
        <v>56</v>
      </c>
      <c r="Z139" t="s">
        <v>56</v>
      </c>
      <c r="AA139" t="s">
        <v>58</v>
      </c>
      <c r="AB139" s="2" t="s">
        <v>142</v>
      </c>
      <c r="AC139" t="s">
        <v>96</v>
      </c>
      <c r="AD139" t="s">
        <v>61</v>
      </c>
      <c r="AE139" t="s">
        <v>62</v>
      </c>
      <c r="AF139" t="s">
        <v>53</v>
      </c>
      <c r="AG139" t="s">
        <v>83</v>
      </c>
      <c r="AH139" t="s">
        <v>65</v>
      </c>
      <c r="AI139" t="s">
        <v>193</v>
      </c>
      <c r="AJ139" t="s">
        <v>193</v>
      </c>
      <c r="AK139" t="s">
        <v>84</v>
      </c>
      <c r="AL139" t="s">
        <v>64</v>
      </c>
      <c r="AM139" t="s">
        <v>65</v>
      </c>
    </row>
    <row r="140" spans="1:39">
      <c r="A140">
        <v>147</v>
      </c>
      <c r="B140" s="1">
        <v>46138.808506944399</v>
      </c>
      <c r="C140" s="1">
        <v>46138.815104166701</v>
      </c>
      <c r="D140" t="s">
        <v>39</v>
      </c>
      <c r="F140" s="1"/>
      <c r="G140" t="s">
        <v>124</v>
      </c>
      <c r="H140" t="s">
        <v>86</v>
      </c>
      <c r="I140" t="s">
        <v>392</v>
      </c>
      <c r="J140" t="s">
        <v>43</v>
      </c>
      <c r="K140" t="s">
        <v>349</v>
      </c>
      <c r="L140" s="2" t="s">
        <v>339</v>
      </c>
      <c r="M140" s="2" t="s">
        <v>186</v>
      </c>
      <c r="N140" t="s">
        <v>189</v>
      </c>
      <c r="O140" t="s">
        <v>90</v>
      </c>
      <c r="P140" t="s">
        <v>49</v>
      </c>
      <c r="Q140" t="s">
        <v>53</v>
      </c>
      <c r="R140" t="s">
        <v>103</v>
      </c>
      <c r="S140" s="2" t="s">
        <v>186</v>
      </c>
      <c r="T140" t="s">
        <v>74</v>
      </c>
      <c r="U140" t="s">
        <v>75</v>
      </c>
      <c r="V140" t="s">
        <v>50</v>
      </c>
      <c r="W140" t="s">
        <v>122</v>
      </c>
      <c r="X140" t="s">
        <v>352</v>
      </c>
      <c r="Y140" t="s">
        <v>78</v>
      </c>
      <c r="Z140" t="s">
        <v>78</v>
      </c>
      <c r="AA140" t="s">
        <v>229</v>
      </c>
      <c r="AB140" s="2" t="s">
        <v>70</v>
      </c>
      <c r="AC140" t="s">
        <v>202</v>
      </c>
      <c r="AD140" t="s">
        <v>178</v>
      </c>
      <c r="AE140" t="s">
        <v>62</v>
      </c>
      <c r="AF140" t="s">
        <v>53</v>
      </c>
      <c r="AG140" t="s">
        <v>61</v>
      </c>
      <c r="AH140" t="s">
        <v>66</v>
      </c>
      <c r="AI140" t="s">
        <v>193</v>
      </c>
      <c r="AJ140" t="s">
        <v>193</v>
      </c>
      <c r="AK140" t="s">
        <v>64</v>
      </c>
      <c r="AL140" t="s">
        <v>64</v>
      </c>
      <c r="AM140" t="s">
        <v>65</v>
      </c>
    </row>
    <row r="141" spans="1:39">
      <c r="A141">
        <v>148</v>
      </c>
      <c r="B141" s="1">
        <v>46138.808518518497</v>
      </c>
      <c r="C141" s="1">
        <v>46138.8151967593</v>
      </c>
      <c r="D141" t="s">
        <v>39</v>
      </c>
      <c r="F141" s="1"/>
      <c r="G141" t="s">
        <v>40</v>
      </c>
      <c r="H141" t="s">
        <v>132</v>
      </c>
      <c r="I141" t="s">
        <v>375</v>
      </c>
      <c r="J141" t="s">
        <v>68</v>
      </c>
      <c r="K141" t="s">
        <v>44</v>
      </c>
      <c r="L141" s="2" t="s">
        <v>390</v>
      </c>
      <c r="M141" s="2" t="s">
        <v>115</v>
      </c>
      <c r="N141" t="s">
        <v>110</v>
      </c>
      <c r="O141" t="s">
        <v>48</v>
      </c>
      <c r="P141" t="s">
        <v>138</v>
      </c>
      <c r="Q141" t="s">
        <v>50</v>
      </c>
      <c r="R141" t="s">
        <v>53</v>
      </c>
      <c r="S141" s="2" t="s">
        <v>70</v>
      </c>
      <c r="T141" t="s">
        <v>154</v>
      </c>
      <c r="U141" t="s">
        <v>75</v>
      </c>
      <c r="V141" t="s">
        <v>53</v>
      </c>
      <c r="W141" t="s">
        <v>105</v>
      </c>
      <c r="X141" t="s">
        <v>377</v>
      </c>
      <c r="Y141" t="s">
        <v>56</v>
      </c>
      <c r="Z141" t="s">
        <v>78</v>
      </c>
      <c r="AA141" t="s">
        <v>112</v>
      </c>
      <c r="AB141" s="2" t="s">
        <v>59</v>
      </c>
      <c r="AC141" t="s">
        <v>113</v>
      </c>
      <c r="AD141" t="s">
        <v>61</v>
      </c>
      <c r="AE141" t="s">
        <v>62</v>
      </c>
      <c r="AF141" t="s">
        <v>103</v>
      </c>
      <c r="AG141" t="s">
        <v>61</v>
      </c>
      <c r="AH141" t="s">
        <v>84</v>
      </c>
      <c r="AI141" t="s">
        <v>65</v>
      </c>
      <c r="AJ141" t="s">
        <v>66</v>
      </c>
      <c r="AK141" t="s">
        <v>84</v>
      </c>
      <c r="AL141" t="s">
        <v>193</v>
      </c>
      <c r="AM141" t="s">
        <v>65</v>
      </c>
    </row>
    <row r="142" spans="1:39">
      <c r="A142">
        <v>149</v>
      </c>
      <c r="B142" s="1">
        <v>46138.815231481502</v>
      </c>
      <c r="C142" s="1">
        <v>46138.818171296298</v>
      </c>
      <c r="D142" t="s">
        <v>39</v>
      </c>
      <c r="F142" s="1"/>
      <c r="G142" t="s">
        <v>98</v>
      </c>
      <c r="H142" t="s">
        <v>309</v>
      </c>
      <c r="I142" t="s">
        <v>397</v>
      </c>
      <c r="J142" t="s">
        <v>68</v>
      </c>
      <c r="K142" t="s">
        <v>44</v>
      </c>
      <c r="L142" s="2" t="s">
        <v>218</v>
      </c>
      <c r="M142" s="2" t="s">
        <v>343</v>
      </c>
      <c r="N142" t="s">
        <v>110</v>
      </c>
      <c r="O142" t="s">
        <v>243</v>
      </c>
      <c r="P142" t="s">
        <v>148</v>
      </c>
      <c r="Q142" t="s">
        <v>103</v>
      </c>
      <c r="R142" t="s">
        <v>63</v>
      </c>
      <c r="S142" s="2" t="s">
        <v>258</v>
      </c>
      <c r="T142" t="s">
        <v>51</v>
      </c>
      <c r="U142" t="s">
        <v>121</v>
      </c>
      <c r="V142" t="s">
        <v>50</v>
      </c>
      <c r="W142" t="s">
        <v>116</v>
      </c>
      <c r="X142" t="s">
        <v>350</v>
      </c>
      <c r="Y142" t="s">
        <v>57</v>
      </c>
      <c r="Z142" t="s">
        <v>56</v>
      </c>
      <c r="AA142" t="s">
        <v>229</v>
      </c>
      <c r="AB142" s="2" t="s">
        <v>59</v>
      </c>
      <c r="AC142" t="s">
        <v>96</v>
      </c>
      <c r="AD142" t="s">
        <v>178</v>
      </c>
      <c r="AE142" t="s">
        <v>97</v>
      </c>
      <c r="AF142" t="s">
        <v>53</v>
      </c>
      <c r="AG142" t="s">
        <v>61</v>
      </c>
      <c r="AH142" t="s">
        <v>193</v>
      </c>
      <c r="AI142" t="s">
        <v>65</v>
      </c>
      <c r="AJ142" t="s">
        <v>65</v>
      </c>
      <c r="AK142" t="s">
        <v>193</v>
      </c>
      <c r="AL142" t="s">
        <v>193</v>
      </c>
      <c r="AM142" t="s">
        <v>66</v>
      </c>
    </row>
    <row r="143" spans="1:39">
      <c r="A143">
        <v>150</v>
      </c>
      <c r="B143" s="1">
        <v>46138.815208333297</v>
      </c>
      <c r="C143" s="1">
        <v>46138.818182870396</v>
      </c>
      <c r="D143" t="s">
        <v>39</v>
      </c>
      <c r="F143" s="1"/>
      <c r="G143" t="s">
        <v>272</v>
      </c>
      <c r="H143" t="s">
        <v>309</v>
      </c>
      <c r="I143" t="s">
        <v>397</v>
      </c>
      <c r="J143" t="s">
        <v>43</v>
      </c>
      <c r="K143" t="s">
        <v>349</v>
      </c>
      <c r="L143" s="2" t="s">
        <v>398</v>
      </c>
      <c r="M143" s="2" t="s">
        <v>147</v>
      </c>
      <c r="N143" t="s">
        <v>72</v>
      </c>
      <c r="O143" t="s">
        <v>48</v>
      </c>
      <c r="P143" t="s">
        <v>148</v>
      </c>
      <c r="Q143" t="s">
        <v>93</v>
      </c>
      <c r="R143" t="s">
        <v>50</v>
      </c>
      <c r="S143" s="2" t="s">
        <v>343</v>
      </c>
      <c r="T143" t="s">
        <v>91</v>
      </c>
      <c r="U143" t="s">
        <v>92</v>
      </c>
      <c r="V143" t="s">
        <v>50</v>
      </c>
      <c r="W143" t="s">
        <v>54</v>
      </c>
      <c r="X143" t="s">
        <v>340</v>
      </c>
      <c r="Y143" t="s">
        <v>56</v>
      </c>
      <c r="Z143" t="s">
        <v>57</v>
      </c>
      <c r="AA143" t="s">
        <v>151</v>
      </c>
      <c r="AB143" s="2" t="s">
        <v>70</v>
      </c>
      <c r="AC143" t="s">
        <v>113</v>
      </c>
      <c r="AD143" t="s">
        <v>61</v>
      </c>
      <c r="AE143" t="s">
        <v>118</v>
      </c>
      <c r="AF143" t="s">
        <v>53</v>
      </c>
      <c r="AG143" t="s">
        <v>83</v>
      </c>
      <c r="AH143" t="s">
        <v>84</v>
      </c>
      <c r="AI143" t="s">
        <v>66</v>
      </c>
      <c r="AJ143" t="s">
        <v>193</v>
      </c>
      <c r="AK143" t="s">
        <v>64</v>
      </c>
      <c r="AL143" t="s">
        <v>64</v>
      </c>
      <c r="AM143" t="s">
        <v>66</v>
      </c>
    </row>
    <row r="144" spans="1:39">
      <c r="A144">
        <v>151</v>
      </c>
      <c r="B144" s="1">
        <v>46138.818206018499</v>
      </c>
      <c r="C144" s="1">
        <v>46138.822777777801</v>
      </c>
      <c r="D144" t="s">
        <v>39</v>
      </c>
      <c r="F144" s="1"/>
      <c r="G144" t="s">
        <v>272</v>
      </c>
      <c r="H144" t="s">
        <v>358</v>
      </c>
      <c r="I144" t="s">
        <v>359</v>
      </c>
      <c r="J144" t="s">
        <v>43</v>
      </c>
      <c r="K144" t="s">
        <v>198</v>
      </c>
      <c r="L144" s="2" t="s">
        <v>199</v>
      </c>
      <c r="M144" s="2" t="s">
        <v>147</v>
      </c>
      <c r="N144" t="s">
        <v>47</v>
      </c>
      <c r="O144" t="s">
        <v>135</v>
      </c>
      <c r="P144" t="s">
        <v>167</v>
      </c>
      <c r="Q144" t="s">
        <v>103</v>
      </c>
      <c r="R144" t="s">
        <v>93</v>
      </c>
      <c r="S144" s="2" t="s">
        <v>186</v>
      </c>
      <c r="T144" t="s">
        <v>91</v>
      </c>
      <c r="U144" t="s">
        <v>92</v>
      </c>
      <c r="V144" t="s">
        <v>50</v>
      </c>
      <c r="W144" t="s">
        <v>116</v>
      </c>
      <c r="X144" t="s">
        <v>377</v>
      </c>
      <c r="Y144" t="s">
        <v>56</v>
      </c>
      <c r="Z144" t="s">
        <v>57</v>
      </c>
      <c r="AA144" t="s">
        <v>112</v>
      </c>
      <c r="AB144" s="2" t="s">
        <v>142</v>
      </c>
      <c r="AC144" t="s">
        <v>81</v>
      </c>
      <c r="AD144" t="s">
        <v>82</v>
      </c>
      <c r="AE144" t="s">
        <v>165</v>
      </c>
      <c r="AF144" t="s">
        <v>63</v>
      </c>
      <c r="AG144" t="s">
        <v>83</v>
      </c>
      <c r="AH144" t="s">
        <v>193</v>
      </c>
      <c r="AI144" t="s">
        <v>193</v>
      </c>
      <c r="AJ144" t="s">
        <v>65</v>
      </c>
      <c r="AK144" t="s">
        <v>64</v>
      </c>
      <c r="AL144" t="s">
        <v>64</v>
      </c>
      <c r="AM144" t="s">
        <v>66</v>
      </c>
    </row>
    <row r="145" spans="1:39">
      <c r="A145">
        <v>152</v>
      </c>
      <c r="B145" s="1">
        <v>46138.818206018499</v>
      </c>
      <c r="C145" s="1">
        <v>46138.822962963</v>
      </c>
      <c r="D145" t="s">
        <v>39</v>
      </c>
      <c r="F145" s="1"/>
      <c r="G145" t="s">
        <v>98</v>
      </c>
      <c r="H145" t="s">
        <v>86</v>
      </c>
      <c r="I145" t="s">
        <v>392</v>
      </c>
      <c r="J145" t="s">
        <v>43</v>
      </c>
      <c r="K145" t="s">
        <v>239</v>
      </c>
      <c r="L145" s="2" t="s">
        <v>257</v>
      </c>
      <c r="M145" s="2" t="s">
        <v>258</v>
      </c>
      <c r="N145" t="s">
        <v>72</v>
      </c>
      <c r="O145" t="s">
        <v>243</v>
      </c>
      <c r="P145" t="s">
        <v>148</v>
      </c>
      <c r="Q145" t="s">
        <v>53</v>
      </c>
      <c r="R145" t="s">
        <v>53</v>
      </c>
      <c r="S145" s="2" t="s">
        <v>343</v>
      </c>
      <c r="T145" t="s">
        <v>104</v>
      </c>
      <c r="U145" t="s">
        <v>52</v>
      </c>
      <c r="V145" t="s">
        <v>53</v>
      </c>
      <c r="W145" t="s">
        <v>54</v>
      </c>
      <c r="X145" t="s">
        <v>337</v>
      </c>
      <c r="Y145" t="s">
        <v>56</v>
      </c>
      <c r="Z145" t="s">
        <v>56</v>
      </c>
      <c r="AA145" t="s">
        <v>291</v>
      </c>
      <c r="AB145" s="2" t="s">
        <v>169</v>
      </c>
      <c r="AC145" t="s">
        <v>113</v>
      </c>
      <c r="AD145" t="s">
        <v>61</v>
      </c>
      <c r="AE145" t="s">
        <v>62</v>
      </c>
      <c r="AF145" t="s">
        <v>53</v>
      </c>
      <c r="AG145" t="s">
        <v>61</v>
      </c>
      <c r="AH145" t="s">
        <v>193</v>
      </c>
      <c r="AI145" t="s">
        <v>84</v>
      </c>
      <c r="AJ145" t="s">
        <v>84</v>
      </c>
      <c r="AK145" t="s">
        <v>193</v>
      </c>
      <c r="AL145" t="s">
        <v>66</v>
      </c>
      <c r="AM145" t="s">
        <v>64</v>
      </c>
    </row>
    <row r="146" spans="1:39">
      <c r="A146">
        <v>153</v>
      </c>
      <c r="B146" s="1">
        <v>46138.909178240698</v>
      </c>
      <c r="C146" s="1">
        <v>46138.911874999998</v>
      </c>
      <c r="D146" t="s">
        <v>39</v>
      </c>
      <c r="F146" s="1"/>
      <c r="G146" t="s">
        <v>124</v>
      </c>
      <c r="H146" t="s">
        <v>41</v>
      </c>
      <c r="I146" t="s">
        <v>125</v>
      </c>
      <c r="J146" t="s">
        <v>68</v>
      </c>
      <c r="K146" t="s">
        <v>198</v>
      </c>
      <c r="L146" s="2" t="s">
        <v>199</v>
      </c>
      <c r="M146" s="2" t="s">
        <v>147</v>
      </c>
      <c r="N146" t="s">
        <v>72</v>
      </c>
      <c r="O146" t="s">
        <v>48</v>
      </c>
      <c r="P146" t="s">
        <v>148</v>
      </c>
      <c r="Q146" t="s">
        <v>50</v>
      </c>
      <c r="R146" t="s">
        <v>50</v>
      </c>
      <c r="S146" s="2" t="s">
        <v>70</v>
      </c>
      <c r="T146" t="s">
        <v>74</v>
      </c>
      <c r="U146" t="s">
        <v>121</v>
      </c>
      <c r="V146" t="s">
        <v>63</v>
      </c>
      <c r="W146" t="s">
        <v>54</v>
      </c>
      <c r="X146" t="s">
        <v>399</v>
      </c>
      <c r="Y146" t="s">
        <v>78</v>
      </c>
      <c r="Z146" t="s">
        <v>78</v>
      </c>
      <c r="AA146" t="s">
        <v>334</v>
      </c>
      <c r="AB146" s="2" t="s">
        <v>59</v>
      </c>
      <c r="AC146" t="s">
        <v>81</v>
      </c>
      <c r="AD146" t="s">
        <v>61</v>
      </c>
      <c r="AE146" t="s">
        <v>107</v>
      </c>
      <c r="AF146" t="s">
        <v>103</v>
      </c>
      <c r="AG146" t="s">
        <v>128</v>
      </c>
      <c r="AH146" t="s">
        <v>65</v>
      </c>
      <c r="AI146" t="s">
        <v>64</v>
      </c>
      <c r="AJ146" t="s">
        <v>65</v>
      </c>
      <c r="AK146" t="s">
        <v>66</v>
      </c>
      <c r="AL146" t="s">
        <v>65</v>
      </c>
      <c r="AM146" t="s">
        <v>66</v>
      </c>
    </row>
    <row r="147" spans="1:39">
      <c r="A147">
        <v>154</v>
      </c>
      <c r="B147" s="1">
        <v>46138.911909722199</v>
      </c>
      <c r="C147" s="1">
        <v>46138.914050925901</v>
      </c>
      <c r="D147" t="s">
        <v>39</v>
      </c>
      <c r="F147" s="1"/>
      <c r="G147" t="s">
        <v>98</v>
      </c>
      <c r="H147" t="s">
        <v>86</v>
      </c>
      <c r="I147" t="s">
        <v>400</v>
      </c>
      <c r="J147" t="s">
        <v>68</v>
      </c>
      <c r="K147" t="s">
        <v>69</v>
      </c>
      <c r="L147" s="2" t="s">
        <v>120</v>
      </c>
      <c r="M147" s="2" t="s">
        <v>147</v>
      </c>
      <c r="N147" t="s">
        <v>47</v>
      </c>
      <c r="O147" t="s">
        <v>135</v>
      </c>
      <c r="P147" t="s">
        <v>49</v>
      </c>
      <c r="Q147" t="s">
        <v>93</v>
      </c>
      <c r="R147" t="s">
        <v>103</v>
      </c>
      <c r="S147" s="2" t="s">
        <v>80</v>
      </c>
      <c r="T147" t="s">
        <v>91</v>
      </c>
      <c r="U147" t="s">
        <v>121</v>
      </c>
      <c r="V147" t="s">
        <v>53</v>
      </c>
      <c r="W147" t="s">
        <v>76</v>
      </c>
      <c r="X147" t="s">
        <v>401</v>
      </c>
      <c r="Y147" t="s">
        <v>56</v>
      </c>
      <c r="Z147" t="s">
        <v>56</v>
      </c>
      <c r="AA147" t="s">
        <v>95</v>
      </c>
      <c r="AB147" s="2" t="s">
        <v>80</v>
      </c>
      <c r="AC147" t="s">
        <v>81</v>
      </c>
      <c r="AD147" t="s">
        <v>61</v>
      </c>
      <c r="AE147" t="s">
        <v>118</v>
      </c>
      <c r="AF147" t="s">
        <v>53</v>
      </c>
      <c r="AG147" t="s">
        <v>83</v>
      </c>
      <c r="AH147" t="s">
        <v>64</v>
      </c>
      <c r="AI147" t="s">
        <v>65</v>
      </c>
      <c r="AJ147" t="s">
        <v>64</v>
      </c>
      <c r="AK147" t="s">
        <v>66</v>
      </c>
      <c r="AL147" t="s">
        <v>84</v>
      </c>
      <c r="AM147" t="s">
        <v>84</v>
      </c>
    </row>
    <row r="148" spans="1:39">
      <c r="A148">
        <v>155</v>
      </c>
      <c r="B148" s="1">
        <v>46138.914085648103</v>
      </c>
      <c r="C148" s="1">
        <v>46138.915833333303</v>
      </c>
      <c r="D148" t="s">
        <v>39</v>
      </c>
      <c r="F148" s="1"/>
      <c r="G148" t="s">
        <v>85</v>
      </c>
      <c r="H148" t="s">
        <v>41</v>
      </c>
      <c r="I148" t="s">
        <v>145</v>
      </c>
      <c r="J148" t="s">
        <v>68</v>
      </c>
      <c r="K148" t="s">
        <v>44</v>
      </c>
      <c r="L148" s="2" t="s">
        <v>175</v>
      </c>
      <c r="M148" s="2" t="s">
        <v>71</v>
      </c>
      <c r="N148" t="s">
        <v>47</v>
      </c>
      <c r="O148" t="s">
        <v>90</v>
      </c>
      <c r="P148" t="s">
        <v>49</v>
      </c>
      <c r="Q148" t="s">
        <v>63</v>
      </c>
      <c r="R148" t="s">
        <v>53</v>
      </c>
      <c r="S148" s="2" t="s">
        <v>366</v>
      </c>
      <c r="T148" t="s">
        <v>74</v>
      </c>
      <c r="U148" t="s">
        <v>75</v>
      </c>
      <c r="V148" t="s">
        <v>50</v>
      </c>
      <c r="W148" t="s">
        <v>105</v>
      </c>
      <c r="X148" t="s">
        <v>402</v>
      </c>
      <c r="Y148" t="s">
        <v>56</v>
      </c>
      <c r="Z148" t="s">
        <v>56</v>
      </c>
      <c r="AA148" t="s">
        <v>334</v>
      </c>
      <c r="AB148" s="2" t="s">
        <v>59</v>
      </c>
      <c r="AC148" t="s">
        <v>81</v>
      </c>
      <c r="AD148" t="s">
        <v>82</v>
      </c>
      <c r="AE148" t="s">
        <v>173</v>
      </c>
      <c r="AF148" t="s">
        <v>50</v>
      </c>
      <c r="AG148" t="s">
        <v>128</v>
      </c>
      <c r="AH148" t="s">
        <v>64</v>
      </c>
      <c r="AI148" t="s">
        <v>84</v>
      </c>
      <c r="AJ148" t="s">
        <v>64</v>
      </c>
      <c r="AK148" t="s">
        <v>65</v>
      </c>
      <c r="AL148" t="s">
        <v>65</v>
      </c>
      <c r="AM148" t="s">
        <v>64</v>
      </c>
    </row>
    <row r="149" spans="1:39">
      <c r="A149">
        <v>156</v>
      </c>
      <c r="B149" s="1">
        <v>46140.458055555602</v>
      </c>
      <c r="C149" s="1">
        <v>46140.459386574097</v>
      </c>
      <c r="D149" t="s">
        <v>39</v>
      </c>
      <c r="F149" s="1"/>
      <c r="G149" t="s">
        <v>40</v>
      </c>
      <c r="H149" t="s">
        <v>41</v>
      </c>
      <c r="I149" t="s">
        <v>403</v>
      </c>
      <c r="J149" t="s">
        <v>43</v>
      </c>
      <c r="K149" t="s">
        <v>69</v>
      </c>
      <c r="L149" s="2" t="s">
        <v>70</v>
      </c>
      <c r="M149" s="2" t="s">
        <v>46</v>
      </c>
      <c r="N149" t="s">
        <v>72</v>
      </c>
      <c r="O149" t="s">
        <v>90</v>
      </c>
      <c r="P149" t="s">
        <v>148</v>
      </c>
      <c r="Q149" t="s">
        <v>63</v>
      </c>
      <c r="R149" t="s">
        <v>53</v>
      </c>
      <c r="S149" s="2" t="s">
        <v>343</v>
      </c>
      <c r="T149" t="s">
        <v>74</v>
      </c>
      <c r="U149" t="s">
        <v>121</v>
      </c>
      <c r="V149" t="s">
        <v>63</v>
      </c>
      <c r="W149" t="s">
        <v>105</v>
      </c>
      <c r="X149" t="s">
        <v>164</v>
      </c>
      <c r="Y149" t="s">
        <v>56</v>
      </c>
      <c r="Z149" t="s">
        <v>56</v>
      </c>
      <c r="AA149" t="s">
        <v>58</v>
      </c>
      <c r="AB149" s="2" t="s">
        <v>80</v>
      </c>
      <c r="AC149" t="s">
        <v>113</v>
      </c>
      <c r="AD149" t="s">
        <v>82</v>
      </c>
      <c r="AE149" t="s">
        <v>118</v>
      </c>
      <c r="AF149" t="s">
        <v>53</v>
      </c>
      <c r="AG149" t="s">
        <v>83</v>
      </c>
      <c r="AH149" t="s">
        <v>84</v>
      </c>
      <c r="AI149" t="s">
        <v>84</v>
      </c>
      <c r="AJ149" t="s">
        <v>84</v>
      </c>
      <c r="AK149" t="s">
        <v>84</v>
      </c>
      <c r="AL149" t="s">
        <v>84</v>
      </c>
      <c r="AM149" t="s">
        <v>84</v>
      </c>
    </row>
    <row r="150" spans="1:39">
      <c r="A150">
        <v>157</v>
      </c>
      <c r="B150" s="1">
        <v>46140.457847222198</v>
      </c>
      <c r="C150" s="1">
        <v>46140.459560185198</v>
      </c>
      <c r="D150" t="s">
        <v>39</v>
      </c>
      <c r="F150" s="1"/>
      <c r="G150" t="s">
        <v>124</v>
      </c>
      <c r="H150" t="s">
        <v>41</v>
      </c>
      <c r="I150" t="s">
        <v>404</v>
      </c>
      <c r="J150" t="s">
        <v>43</v>
      </c>
      <c r="K150" t="s">
        <v>101</v>
      </c>
      <c r="L150" s="2" t="s">
        <v>175</v>
      </c>
      <c r="M150" s="2" t="s">
        <v>71</v>
      </c>
      <c r="N150" t="s">
        <v>72</v>
      </c>
      <c r="O150" t="s">
        <v>73</v>
      </c>
      <c r="P150" t="s">
        <v>148</v>
      </c>
      <c r="Q150" t="s">
        <v>53</v>
      </c>
      <c r="R150" t="s">
        <v>50</v>
      </c>
      <c r="S150" s="2" t="s">
        <v>70</v>
      </c>
      <c r="T150" t="s">
        <v>74</v>
      </c>
      <c r="U150" t="s">
        <v>52</v>
      </c>
      <c r="V150" t="s">
        <v>50</v>
      </c>
      <c r="W150" t="s">
        <v>116</v>
      </c>
      <c r="X150" t="s">
        <v>405</v>
      </c>
      <c r="Y150" t="s">
        <v>56</v>
      </c>
      <c r="Z150" t="s">
        <v>78</v>
      </c>
      <c r="AA150" t="s">
        <v>112</v>
      </c>
      <c r="AB150" s="2" t="s">
        <v>70</v>
      </c>
      <c r="AC150" t="s">
        <v>113</v>
      </c>
      <c r="AD150" t="s">
        <v>61</v>
      </c>
      <c r="AE150" t="s">
        <v>118</v>
      </c>
      <c r="AF150" t="s">
        <v>50</v>
      </c>
      <c r="AG150" t="s">
        <v>83</v>
      </c>
      <c r="AH150" t="s">
        <v>65</v>
      </c>
      <c r="AI150" t="s">
        <v>64</v>
      </c>
      <c r="AJ150" t="s">
        <v>66</v>
      </c>
      <c r="AK150" t="s">
        <v>64</v>
      </c>
      <c r="AL150" t="s">
        <v>66</v>
      </c>
      <c r="AM150" t="s">
        <v>64</v>
      </c>
    </row>
    <row r="151" spans="1:39">
      <c r="A151">
        <v>158</v>
      </c>
      <c r="B151" s="1">
        <v>46140.458020833299</v>
      </c>
      <c r="C151" s="1">
        <v>46140.460694444402</v>
      </c>
      <c r="D151" t="s">
        <v>39</v>
      </c>
      <c r="F151" s="1"/>
      <c r="G151" t="s">
        <v>40</v>
      </c>
      <c r="H151" t="s">
        <v>41</v>
      </c>
      <c r="I151" t="s">
        <v>406</v>
      </c>
      <c r="J151" t="s">
        <v>68</v>
      </c>
      <c r="K151" t="s">
        <v>69</v>
      </c>
      <c r="L151" s="2" t="s">
        <v>159</v>
      </c>
      <c r="M151" s="2" t="s">
        <v>71</v>
      </c>
      <c r="N151" t="s">
        <v>189</v>
      </c>
      <c r="O151" t="s">
        <v>73</v>
      </c>
      <c r="P151" t="s">
        <v>49</v>
      </c>
      <c r="Q151" t="s">
        <v>103</v>
      </c>
      <c r="R151" t="s">
        <v>50</v>
      </c>
      <c r="S151" s="2" t="s">
        <v>80</v>
      </c>
      <c r="T151" t="s">
        <v>74</v>
      </c>
      <c r="U151" t="s">
        <v>92</v>
      </c>
      <c r="V151" t="s">
        <v>93</v>
      </c>
      <c r="W151" t="s">
        <v>76</v>
      </c>
      <c r="X151" t="s">
        <v>111</v>
      </c>
      <c r="Y151" t="s">
        <v>56</v>
      </c>
      <c r="Z151" t="s">
        <v>57</v>
      </c>
      <c r="AA151" t="s">
        <v>151</v>
      </c>
      <c r="AB151" s="2" t="s">
        <v>80</v>
      </c>
      <c r="AC151" t="s">
        <v>113</v>
      </c>
      <c r="AD151" t="s">
        <v>61</v>
      </c>
      <c r="AE151" t="s">
        <v>173</v>
      </c>
      <c r="AF151" t="s">
        <v>53</v>
      </c>
      <c r="AG151" t="s">
        <v>61</v>
      </c>
      <c r="AH151" t="s">
        <v>64</v>
      </c>
      <c r="AI151" t="s">
        <v>65</v>
      </c>
      <c r="AJ151" t="s">
        <v>66</v>
      </c>
      <c r="AK151" t="s">
        <v>65</v>
      </c>
      <c r="AL151" t="s">
        <v>64</v>
      </c>
      <c r="AM151" t="s">
        <v>65</v>
      </c>
    </row>
    <row r="152" spans="1:39">
      <c r="A152">
        <v>159</v>
      </c>
      <c r="B152" s="1">
        <v>46140.4592708333</v>
      </c>
      <c r="C152" s="1">
        <v>46140.460821759298</v>
      </c>
      <c r="D152" t="s">
        <v>39</v>
      </c>
      <c r="F152" s="1"/>
      <c r="G152" t="s">
        <v>40</v>
      </c>
      <c r="H152" t="s">
        <v>41</v>
      </c>
      <c r="I152" t="s">
        <v>403</v>
      </c>
      <c r="J152" t="s">
        <v>68</v>
      </c>
      <c r="K152" t="s">
        <v>69</v>
      </c>
      <c r="L152" s="2" t="s">
        <v>407</v>
      </c>
      <c r="M152" s="2" t="s">
        <v>71</v>
      </c>
      <c r="N152" t="s">
        <v>47</v>
      </c>
      <c r="O152" t="s">
        <v>73</v>
      </c>
      <c r="P152" t="s">
        <v>49</v>
      </c>
      <c r="Q152" t="s">
        <v>53</v>
      </c>
      <c r="R152" t="s">
        <v>53</v>
      </c>
      <c r="S152" s="2" t="s">
        <v>80</v>
      </c>
      <c r="T152" t="s">
        <v>91</v>
      </c>
      <c r="U152" t="s">
        <v>52</v>
      </c>
      <c r="V152" t="s">
        <v>50</v>
      </c>
      <c r="W152" t="s">
        <v>122</v>
      </c>
      <c r="X152" t="s">
        <v>408</v>
      </c>
      <c r="Y152" t="s">
        <v>78</v>
      </c>
      <c r="Z152" t="s">
        <v>56</v>
      </c>
      <c r="AA152" t="s">
        <v>151</v>
      </c>
      <c r="AB152" s="2" t="s">
        <v>80</v>
      </c>
      <c r="AC152" t="s">
        <v>60</v>
      </c>
      <c r="AD152" t="s">
        <v>61</v>
      </c>
      <c r="AE152" t="s">
        <v>118</v>
      </c>
      <c r="AF152" t="s">
        <v>63</v>
      </c>
      <c r="AG152" t="s">
        <v>83</v>
      </c>
      <c r="AH152" t="s">
        <v>65</v>
      </c>
      <c r="AI152" t="s">
        <v>64</v>
      </c>
      <c r="AJ152" t="s">
        <v>65</v>
      </c>
      <c r="AK152" t="s">
        <v>64</v>
      </c>
      <c r="AL152" t="s">
        <v>64</v>
      </c>
      <c r="AM152" t="s">
        <v>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C0AD-714E-A04A-A93B-58A4DE5A04D7}">
  <dimension ref="A1:AL152"/>
  <sheetViews>
    <sheetView tabSelected="1" zoomScale="143" workbookViewId="0">
      <pane ySplit="1" topLeftCell="A87" activePane="bottomLeft" state="frozen"/>
      <selection pane="bottomLeft" activeCell="D92" sqref="D92"/>
    </sheetView>
  </sheetViews>
  <sheetFormatPr defaultColWidth="8.85546875" defaultRowHeight="15"/>
  <cols>
    <col min="1" max="1" width="5.28515625" bestFit="1" customWidth="1"/>
    <col min="2" max="2" width="30.28515625" customWidth="1"/>
    <col min="3" max="3" width="22.7109375" bestFit="1" customWidth="1"/>
    <col min="4" max="4" width="37.85546875" bestFit="1" customWidth="1"/>
    <col min="5" max="6" width="20" bestFit="1" customWidth="1"/>
    <col min="7" max="7" width="24.140625" style="3" bestFit="1" customWidth="1"/>
    <col min="8" max="8" width="40.7109375" bestFit="1" customWidth="1"/>
    <col min="9" max="9" width="47" bestFit="1" customWidth="1"/>
    <col min="10" max="10" width="29.28515625" bestFit="1" customWidth="1"/>
    <col min="11" max="11" width="28.7109375" bestFit="1" customWidth="1"/>
    <col min="12" max="12" width="33.28515625" bestFit="1" customWidth="1"/>
    <col min="13" max="13" width="44.28515625" style="4" bestFit="1" customWidth="1"/>
    <col min="14" max="14" width="21" style="4" bestFit="1" customWidth="1"/>
    <col min="15" max="15" width="17.28515625" style="4" bestFit="1" customWidth="1"/>
    <col min="16" max="16" width="54.140625" bestFit="1" customWidth="1"/>
    <col min="17" max="17" width="49.28515625" bestFit="1" customWidth="1"/>
    <col min="18" max="18" width="19.140625" style="4" bestFit="1" customWidth="1"/>
    <col min="19" max="19" width="31.42578125" bestFit="1" customWidth="1"/>
    <col min="20" max="20" width="42.7109375" bestFit="1" customWidth="1"/>
    <col min="21" max="21" width="40.28515625" bestFit="1" customWidth="1"/>
    <col min="22" max="22" width="66.85546875" bestFit="1" customWidth="1"/>
    <col min="23" max="23" width="38.28515625" style="4" bestFit="1" customWidth="1"/>
    <col min="24" max="24" width="58.140625" bestFit="1" customWidth="1"/>
    <col min="25" max="25" width="20" bestFit="1" customWidth="1"/>
    <col min="26" max="26" width="52.140625" bestFit="1" customWidth="1"/>
    <col min="27" max="37" width="20" bestFit="1" customWidth="1"/>
    <col min="38" max="38" width="79.42578125" bestFit="1" customWidth="1"/>
  </cols>
  <sheetData>
    <row r="1" spans="1:38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s="3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409</v>
      </c>
      <c r="O1" t="s">
        <v>410</v>
      </c>
      <c r="P1" t="s">
        <v>18</v>
      </c>
      <c r="Q1" t="s">
        <v>19</v>
      </c>
      <c r="R1" t="s">
        <v>411</v>
      </c>
      <c r="S1" t="s">
        <v>20</v>
      </c>
      <c r="T1" t="s">
        <v>21</v>
      </c>
      <c r="U1" t="s">
        <v>22</v>
      </c>
      <c r="V1" s="8" t="s">
        <v>23</v>
      </c>
      <c r="W1" t="s">
        <v>412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</row>
    <row r="2" spans="1:38">
      <c r="A2">
        <v>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s="2">
        <v>3.4</v>
      </c>
      <c r="H2" s="2">
        <v>15</v>
      </c>
      <c r="I2" t="s">
        <v>47</v>
      </c>
      <c r="J2" t="s">
        <v>48</v>
      </c>
      <c r="K2" t="s">
        <v>49</v>
      </c>
      <c r="L2" t="s">
        <v>50</v>
      </c>
      <c r="M2" s="4" t="s">
        <v>50</v>
      </c>
      <c r="N2" s="4" t="str">
        <f t="shared" ref="N2:N33" si="0">IF(OR(M2="Often",M2="Always"),"High","Not high")</f>
        <v>Not high</v>
      </c>
      <c r="O2" s="4">
        <f>IF(Table13[[#This Row],[Phone distraction text]]="High",1,0)</f>
        <v>0</v>
      </c>
      <c r="P2" s="2">
        <v>4</v>
      </c>
      <c r="Q2" t="s">
        <v>51</v>
      </c>
      <c r="R2" s="4">
        <f t="shared" ref="R2:R33" si="1">IF(OR(Q2="Less than 5",Q2="5-6",Q2="6-7"),1,0)</f>
        <v>1</v>
      </c>
      <c r="S2" t="s">
        <v>52</v>
      </c>
      <c r="T2" t="s">
        <v>53</v>
      </c>
      <c r="U2" t="s">
        <v>54</v>
      </c>
      <c r="V2" s="7" t="s">
        <v>55</v>
      </c>
      <c r="W2" s="4" t="s">
        <v>171</v>
      </c>
      <c r="X2" t="s">
        <v>56</v>
      </c>
      <c r="Y2" t="s">
        <v>57</v>
      </c>
      <c r="Z2" t="s">
        <v>58</v>
      </c>
      <c r="AA2" s="2">
        <v>3</v>
      </c>
      <c r="AB2" t="s">
        <v>60</v>
      </c>
      <c r="AC2" t="s">
        <v>61</v>
      </c>
      <c r="AD2" t="s">
        <v>62</v>
      </c>
      <c r="AE2" t="s">
        <v>63</v>
      </c>
      <c r="AF2" t="s">
        <v>61</v>
      </c>
      <c r="AG2" t="s">
        <v>64</v>
      </c>
      <c r="AH2" t="s">
        <v>64</v>
      </c>
      <c r="AI2" t="s">
        <v>65</v>
      </c>
      <c r="AJ2" t="s">
        <v>66</v>
      </c>
      <c r="AK2" t="s">
        <v>66</v>
      </c>
      <c r="AL2" t="s">
        <v>65</v>
      </c>
    </row>
    <row r="3" spans="1:38">
      <c r="A3">
        <v>10</v>
      </c>
      <c r="B3" t="s">
        <v>40</v>
      </c>
      <c r="C3" t="s">
        <v>41</v>
      </c>
      <c r="D3" t="s">
        <v>67</v>
      </c>
      <c r="E3" t="s">
        <v>68</v>
      </c>
      <c r="F3" t="s">
        <v>69</v>
      </c>
      <c r="G3" s="2">
        <v>4</v>
      </c>
      <c r="H3" s="2">
        <v>12</v>
      </c>
      <c r="I3" t="s">
        <v>72</v>
      </c>
      <c r="J3" t="s">
        <v>73</v>
      </c>
      <c r="K3" t="s">
        <v>49</v>
      </c>
      <c r="L3" t="s">
        <v>50</v>
      </c>
      <c r="M3" s="4" t="s">
        <v>50</v>
      </c>
      <c r="N3" s="4" t="str">
        <f t="shared" si="0"/>
        <v>Not high</v>
      </c>
      <c r="O3" s="4">
        <f>IF(Table13[[#This Row],[Phone distraction text]]="High",1,0)</f>
        <v>0</v>
      </c>
      <c r="P3" s="2">
        <v>15</v>
      </c>
      <c r="Q3" t="s">
        <v>74</v>
      </c>
      <c r="R3" s="4">
        <f t="shared" si="1"/>
        <v>1</v>
      </c>
      <c r="S3" t="s">
        <v>75</v>
      </c>
      <c r="T3" t="s">
        <v>53</v>
      </c>
      <c r="U3" t="s">
        <v>76</v>
      </c>
      <c r="V3" s="7" t="s">
        <v>77</v>
      </c>
      <c r="W3" s="4" t="s">
        <v>183</v>
      </c>
      <c r="X3" t="s">
        <v>78</v>
      </c>
      <c r="Y3" t="s">
        <v>78</v>
      </c>
      <c r="Z3" t="s">
        <v>79</v>
      </c>
      <c r="AA3" s="2">
        <v>5</v>
      </c>
      <c r="AB3" t="s">
        <v>81</v>
      </c>
      <c r="AC3" t="s">
        <v>82</v>
      </c>
      <c r="AD3" t="s">
        <v>62</v>
      </c>
      <c r="AE3" t="s">
        <v>63</v>
      </c>
      <c r="AF3" t="s">
        <v>83</v>
      </c>
      <c r="AG3" t="s">
        <v>84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</row>
    <row r="4" spans="1:38">
      <c r="A4">
        <v>11</v>
      </c>
      <c r="B4" t="s">
        <v>85</v>
      </c>
      <c r="C4" t="s">
        <v>86</v>
      </c>
      <c r="D4" t="s">
        <v>87</v>
      </c>
      <c r="E4" t="s">
        <v>68</v>
      </c>
      <c r="F4" t="s">
        <v>44</v>
      </c>
      <c r="G4" s="2">
        <v>3.6</v>
      </c>
      <c r="H4" s="2">
        <v>15</v>
      </c>
      <c r="I4" t="s">
        <v>89</v>
      </c>
      <c r="J4" t="s">
        <v>90</v>
      </c>
      <c r="K4" t="s">
        <v>49</v>
      </c>
      <c r="L4" t="s">
        <v>50</v>
      </c>
      <c r="M4" s="4" t="s">
        <v>50</v>
      </c>
      <c r="N4" s="4" t="str">
        <f t="shared" si="0"/>
        <v>Not high</v>
      </c>
      <c r="O4" s="4">
        <f>IF(Table13[[#This Row],[Phone distraction text]]="High",1,0)</f>
        <v>0</v>
      </c>
      <c r="P4" s="2">
        <v>7</v>
      </c>
      <c r="Q4" t="s">
        <v>91</v>
      </c>
      <c r="R4" s="4">
        <f t="shared" si="1"/>
        <v>0</v>
      </c>
      <c r="S4" t="s">
        <v>92</v>
      </c>
      <c r="T4" t="s">
        <v>93</v>
      </c>
      <c r="U4" t="s">
        <v>76</v>
      </c>
      <c r="V4" s="7" t="s">
        <v>94</v>
      </c>
      <c r="W4" s="4" t="s">
        <v>111</v>
      </c>
      <c r="X4" t="s">
        <v>56</v>
      </c>
      <c r="Y4" t="s">
        <v>56</v>
      </c>
      <c r="Z4" t="s">
        <v>95</v>
      </c>
      <c r="AA4" s="2">
        <v>4</v>
      </c>
      <c r="AB4" t="s">
        <v>96</v>
      </c>
      <c r="AC4" t="s">
        <v>82</v>
      </c>
      <c r="AD4" t="s">
        <v>97</v>
      </c>
      <c r="AE4" t="s">
        <v>53</v>
      </c>
      <c r="AF4" t="s">
        <v>83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</row>
    <row r="5" spans="1:38">
      <c r="A5">
        <v>12</v>
      </c>
      <c r="B5" t="s">
        <v>98</v>
      </c>
      <c r="C5" t="s">
        <v>99</v>
      </c>
      <c r="D5" t="s">
        <v>100</v>
      </c>
      <c r="E5" t="s">
        <v>68</v>
      </c>
      <c r="F5" t="s">
        <v>101</v>
      </c>
      <c r="G5" s="2">
        <v>3.4</v>
      </c>
      <c r="H5" s="2">
        <v>17</v>
      </c>
      <c r="I5" t="s">
        <v>72</v>
      </c>
      <c r="J5" t="s">
        <v>73</v>
      </c>
      <c r="K5" t="s">
        <v>49</v>
      </c>
      <c r="L5" t="s">
        <v>50</v>
      </c>
      <c r="M5" s="4" t="s">
        <v>103</v>
      </c>
      <c r="N5" s="4" t="str">
        <f t="shared" si="0"/>
        <v>Not high</v>
      </c>
      <c r="O5" s="4">
        <f>IF(Table13[[#This Row],[Phone distraction text]]="High",1,0)</f>
        <v>0</v>
      </c>
      <c r="P5" s="2">
        <v>3</v>
      </c>
      <c r="Q5" t="s">
        <v>104</v>
      </c>
      <c r="R5" s="4">
        <f t="shared" si="1"/>
        <v>0</v>
      </c>
      <c r="S5" t="s">
        <v>75</v>
      </c>
      <c r="T5" t="s">
        <v>63</v>
      </c>
      <c r="U5" t="s">
        <v>105</v>
      </c>
      <c r="V5" s="7" t="s">
        <v>413</v>
      </c>
      <c r="W5" s="4" t="s">
        <v>183</v>
      </c>
      <c r="X5" t="s">
        <v>56</v>
      </c>
      <c r="Y5" t="s">
        <v>57</v>
      </c>
      <c r="Z5" t="s">
        <v>58</v>
      </c>
      <c r="AA5" s="2">
        <v>5</v>
      </c>
      <c r="AB5" t="s">
        <v>60</v>
      </c>
      <c r="AC5" t="s">
        <v>61</v>
      </c>
      <c r="AD5" t="s">
        <v>107</v>
      </c>
      <c r="AE5" t="s">
        <v>103</v>
      </c>
      <c r="AF5" t="s">
        <v>61</v>
      </c>
      <c r="AG5" t="s">
        <v>64</v>
      </c>
      <c r="AH5" t="s">
        <v>64</v>
      </c>
      <c r="AI5" t="s">
        <v>65</v>
      </c>
      <c r="AJ5" t="s">
        <v>66</v>
      </c>
      <c r="AK5" t="s">
        <v>64</v>
      </c>
      <c r="AL5" t="s">
        <v>66</v>
      </c>
    </row>
    <row r="6" spans="1:38">
      <c r="A6">
        <v>13</v>
      </c>
      <c r="B6" t="s">
        <v>85</v>
      </c>
      <c r="C6" t="s">
        <v>41</v>
      </c>
      <c r="D6" t="s">
        <v>108</v>
      </c>
      <c r="E6" t="s">
        <v>43</v>
      </c>
      <c r="F6" t="s">
        <v>69</v>
      </c>
      <c r="G6" s="2">
        <v>3.76</v>
      </c>
      <c r="H6" s="2">
        <v>15</v>
      </c>
      <c r="I6" t="s">
        <v>110</v>
      </c>
      <c r="J6" t="s">
        <v>73</v>
      </c>
      <c r="K6" t="s">
        <v>49</v>
      </c>
      <c r="L6" t="s">
        <v>103</v>
      </c>
      <c r="M6" s="4" t="s">
        <v>50</v>
      </c>
      <c r="N6" s="4" t="str">
        <f t="shared" si="0"/>
        <v>Not high</v>
      </c>
      <c r="O6" s="4">
        <f>IF(Table13[[#This Row],[Phone distraction text]]="High",1,0)</f>
        <v>0</v>
      </c>
      <c r="P6" s="2">
        <v>2</v>
      </c>
      <c r="Q6" t="s">
        <v>91</v>
      </c>
      <c r="R6" s="4">
        <f t="shared" si="1"/>
        <v>0</v>
      </c>
      <c r="S6" t="s">
        <v>75</v>
      </c>
      <c r="T6" t="s">
        <v>103</v>
      </c>
      <c r="U6" t="s">
        <v>76</v>
      </c>
      <c r="V6" s="7" t="s">
        <v>111</v>
      </c>
      <c r="W6" s="4" t="s">
        <v>111</v>
      </c>
      <c r="X6" t="s">
        <v>56</v>
      </c>
      <c r="Y6" t="s">
        <v>56</v>
      </c>
      <c r="Z6" t="s">
        <v>112</v>
      </c>
      <c r="AA6" s="2">
        <v>5</v>
      </c>
      <c r="AB6" t="s">
        <v>113</v>
      </c>
      <c r="AC6" t="s">
        <v>82</v>
      </c>
      <c r="AD6" t="s">
        <v>97</v>
      </c>
      <c r="AE6" t="s">
        <v>63</v>
      </c>
      <c r="AF6" t="s">
        <v>83</v>
      </c>
      <c r="AG6" t="s">
        <v>64</v>
      </c>
      <c r="AH6" t="s">
        <v>64</v>
      </c>
      <c r="AI6" t="s">
        <v>64</v>
      </c>
      <c r="AJ6" t="s">
        <v>65</v>
      </c>
      <c r="AK6" t="s">
        <v>64</v>
      </c>
      <c r="AL6" t="s">
        <v>64</v>
      </c>
    </row>
    <row r="7" spans="1:38">
      <c r="A7">
        <v>14</v>
      </c>
      <c r="B7" t="s">
        <v>85</v>
      </c>
      <c r="C7" t="s">
        <v>41</v>
      </c>
      <c r="D7" t="s">
        <v>114</v>
      </c>
      <c r="E7" t="s">
        <v>68</v>
      </c>
      <c r="F7" t="s">
        <v>69</v>
      </c>
      <c r="G7" s="2">
        <v>4</v>
      </c>
      <c r="H7" s="2">
        <v>18</v>
      </c>
      <c r="I7" t="s">
        <v>72</v>
      </c>
      <c r="J7" t="s">
        <v>73</v>
      </c>
      <c r="K7" t="s">
        <v>49</v>
      </c>
      <c r="L7" t="s">
        <v>63</v>
      </c>
      <c r="M7" s="4" t="s">
        <v>50</v>
      </c>
      <c r="N7" s="4" t="str">
        <f t="shared" si="0"/>
        <v>Not high</v>
      </c>
      <c r="O7" s="4">
        <f>IF(Table13[[#This Row],[Phone distraction text]]="High",1,0)</f>
        <v>0</v>
      </c>
      <c r="P7" s="2">
        <v>1</v>
      </c>
      <c r="Q7" t="s">
        <v>51</v>
      </c>
      <c r="R7" s="4">
        <f t="shared" si="1"/>
        <v>1</v>
      </c>
      <c r="S7" t="s">
        <v>52</v>
      </c>
      <c r="T7" t="s">
        <v>93</v>
      </c>
      <c r="U7" t="s">
        <v>116</v>
      </c>
      <c r="V7" s="7" t="s">
        <v>414</v>
      </c>
      <c r="W7" s="4" t="s">
        <v>171</v>
      </c>
      <c r="X7" t="s">
        <v>56</v>
      </c>
      <c r="Y7" t="s">
        <v>78</v>
      </c>
      <c r="Z7" t="s">
        <v>58</v>
      </c>
      <c r="AA7" s="2">
        <v>5</v>
      </c>
      <c r="AB7" t="s">
        <v>60</v>
      </c>
      <c r="AC7" t="s">
        <v>61</v>
      </c>
      <c r="AD7" t="s">
        <v>118</v>
      </c>
      <c r="AE7" t="s">
        <v>63</v>
      </c>
      <c r="AF7" t="s">
        <v>61</v>
      </c>
      <c r="AG7" t="s">
        <v>64</v>
      </c>
      <c r="AH7" t="s">
        <v>84</v>
      </c>
      <c r="AI7" t="s">
        <v>64</v>
      </c>
      <c r="AJ7" t="s">
        <v>64</v>
      </c>
      <c r="AK7" t="s">
        <v>65</v>
      </c>
      <c r="AL7" t="s">
        <v>84</v>
      </c>
    </row>
    <row r="8" spans="1:38">
      <c r="A8">
        <v>15</v>
      </c>
      <c r="B8" t="s">
        <v>85</v>
      </c>
      <c r="C8" t="s">
        <v>41</v>
      </c>
      <c r="D8" t="s">
        <v>119</v>
      </c>
      <c r="E8" t="s">
        <v>68</v>
      </c>
      <c r="F8" t="s">
        <v>69</v>
      </c>
      <c r="G8" s="2">
        <v>3.5</v>
      </c>
      <c r="H8" s="2">
        <v>15</v>
      </c>
      <c r="I8" t="s">
        <v>110</v>
      </c>
      <c r="J8" t="s">
        <v>73</v>
      </c>
      <c r="K8" t="s">
        <v>49</v>
      </c>
      <c r="L8" t="s">
        <v>103</v>
      </c>
      <c r="M8" s="4" t="s">
        <v>50</v>
      </c>
      <c r="N8" s="4" t="str">
        <f t="shared" si="0"/>
        <v>Not high</v>
      </c>
      <c r="O8" s="4">
        <f>IF(Table13[[#This Row],[Phone distraction text]]="High",1,0)</f>
        <v>0</v>
      </c>
      <c r="P8" s="2">
        <v>3</v>
      </c>
      <c r="Q8" t="s">
        <v>91</v>
      </c>
      <c r="R8" s="4">
        <f t="shared" si="1"/>
        <v>0</v>
      </c>
      <c r="S8" t="s">
        <v>121</v>
      </c>
      <c r="T8" t="s">
        <v>103</v>
      </c>
      <c r="U8" t="s">
        <v>122</v>
      </c>
      <c r="V8" s="7" t="s">
        <v>123</v>
      </c>
      <c r="W8" s="4" t="s">
        <v>415</v>
      </c>
      <c r="X8" t="s">
        <v>56</v>
      </c>
      <c r="Y8" t="s">
        <v>78</v>
      </c>
      <c r="Z8" t="s">
        <v>58</v>
      </c>
      <c r="AA8" s="2">
        <v>5</v>
      </c>
      <c r="AB8" t="s">
        <v>60</v>
      </c>
      <c r="AC8" t="s">
        <v>61</v>
      </c>
      <c r="AD8" t="s">
        <v>62</v>
      </c>
      <c r="AE8" t="s">
        <v>53</v>
      </c>
      <c r="AF8" t="s">
        <v>61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</row>
    <row r="9" spans="1:38">
      <c r="A9">
        <v>16</v>
      </c>
      <c r="B9" t="s">
        <v>124</v>
      </c>
      <c r="C9" t="s">
        <v>41</v>
      </c>
      <c r="D9" t="s">
        <v>125</v>
      </c>
      <c r="E9" t="s">
        <v>43</v>
      </c>
      <c r="F9" t="s">
        <v>101</v>
      </c>
      <c r="G9" s="2">
        <v>3.9</v>
      </c>
      <c r="H9" s="2">
        <v>15</v>
      </c>
      <c r="I9" t="s">
        <v>110</v>
      </c>
      <c r="J9" t="s">
        <v>48</v>
      </c>
      <c r="K9" t="s">
        <v>49</v>
      </c>
      <c r="L9" t="s">
        <v>63</v>
      </c>
      <c r="M9" s="4" t="s">
        <v>53</v>
      </c>
      <c r="N9" s="4" t="str">
        <f t="shared" si="0"/>
        <v>High</v>
      </c>
      <c r="O9" s="4">
        <f>IF(Table13[[#This Row],[Phone distraction text]]="High",1,0)</f>
        <v>1</v>
      </c>
      <c r="P9" s="2">
        <v>3</v>
      </c>
      <c r="Q9" t="s">
        <v>74</v>
      </c>
      <c r="R9" s="4">
        <f t="shared" si="1"/>
        <v>1</v>
      </c>
      <c r="S9" t="s">
        <v>121</v>
      </c>
      <c r="T9" t="s">
        <v>50</v>
      </c>
      <c r="U9" t="s">
        <v>122</v>
      </c>
      <c r="V9" s="7" t="s">
        <v>416</v>
      </c>
      <c r="W9" s="4" t="s">
        <v>183</v>
      </c>
      <c r="X9" t="s">
        <v>56</v>
      </c>
      <c r="Y9" t="s">
        <v>78</v>
      </c>
      <c r="Z9" t="s">
        <v>95</v>
      </c>
      <c r="AA9" s="2">
        <v>4</v>
      </c>
      <c r="AB9" t="s">
        <v>113</v>
      </c>
      <c r="AC9" t="s">
        <v>128</v>
      </c>
      <c r="AD9" t="s">
        <v>97</v>
      </c>
      <c r="AE9" t="s">
        <v>50</v>
      </c>
      <c r="AF9" t="s">
        <v>128</v>
      </c>
      <c r="AG9" t="s">
        <v>84</v>
      </c>
      <c r="AH9" t="s">
        <v>84</v>
      </c>
      <c r="AI9" t="s">
        <v>84</v>
      </c>
      <c r="AJ9" t="s">
        <v>65</v>
      </c>
      <c r="AK9" t="s">
        <v>65</v>
      </c>
      <c r="AL9" t="s">
        <v>64</v>
      </c>
    </row>
    <row r="10" spans="1:38">
      <c r="A10">
        <v>17</v>
      </c>
      <c r="B10" t="s">
        <v>40</v>
      </c>
      <c r="C10" t="s">
        <v>41</v>
      </c>
      <c r="D10" t="s">
        <v>129</v>
      </c>
      <c r="E10" t="s">
        <v>68</v>
      </c>
      <c r="F10" t="s">
        <v>69</v>
      </c>
      <c r="G10" s="2">
        <v>3.7</v>
      </c>
      <c r="H10" s="2">
        <v>12</v>
      </c>
      <c r="I10" t="s">
        <v>110</v>
      </c>
      <c r="J10" t="s">
        <v>73</v>
      </c>
      <c r="K10" t="s">
        <v>49</v>
      </c>
      <c r="L10" t="s">
        <v>103</v>
      </c>
      <c r="M10" s="4" t="s">
        <v>103</v>
      </c>
      <c r="N10" s="4" t="str">
        <f t="shared" si="0"/>
        <v>Not high</v>
      </c>
      <c r="O10" s="4">
        <f>IF(Table13[[#This Row],[Phone distraction text]]="High",1,0)</f>
        <v>0</v>
      </c>
      <c r="P10" s="2">
        <v>7</v>
      </c>
      <c r="Q10" t="s">
        <v>91</v>
      </c>
      <c r="R10" s="4">
        <f t="shared" si="1"/>
        <v>0</v>
      </c>
      <c r="S10" t="s">
        <v>92</v>
      </c>
      <c r="T10" t="s">
        <v>53</v>
      </c>
      <c r="U10" t="s">
        <v>76</v>
      </c>
      <c r="V10" s="7" t="s">
        <v>417</v>
      </c>
      <c r="W10" s="4" t="s">
        <v>111</v>
      </c>
      <c r="X10" t="s">
        <v>56</v>
      </c>
      <c r="Y10" t="s">
        <v>56</v>
      </c>
      <c r="Z10" t="s">
        <v>58</v>
      </c>
      <c r="AA10" s="2">
        <v>4</v>
      </c>
      <c r="AB10" t="s">
        <v>113</v>
      </c>
      <c r="AC10" t="s">
        <v>82</v>
      </c>
      <c r="AD10" t="s">
        <v>62</v>
      </c>
      <c r="AE10" t="s">
        <v>53</v>
      </c>
      <c r="AF10" t="s">
        <v>61</v>
      </c>
      <c r="AG10" t="s">
        <v>64</v>
      </c>
      <c r="AH10" t="s">
        <v>64</v>
      </c>
      <c r="AI10" t="s">
        <v>84</v>
      </c>
      <c r="AJ10" t="s">
        <v>66</v>
      </c>
      <c r="AK10" t="s">
        <v>65</v>
      </c>
      <c r="AL10" t="s">
        <v>65</v>
      </c>
    </row>
    <row r="11" spans="1:38">
      <c r="A11">
        <v>18</v>
      </c>
      <c r="B11" t="s">
        <v>40</v>
      </c>
      <c r="C11" t="s">
        <v>132</v>
      </c>
      <c r="D11" t="s">
        <v>133</v>
      </c>
      <c r="E11" t="s">
        <v>43</v>
      </c>
      <c r="F11" t="s">
        <v>101</v>
      </c>
      <c r="G11" s="2">
        <v>3.64</v>
      </c>
      <c r="H11" s="2">
        <v>12</v>
      </c>
      <c r="I11" t="s">
        <v>72</v>
      </c>
      <c r="J11" t="s">
        <v>135</v>
      </c>
      <c r="K11" t="s">
        <v>49</v>
      </c>
      <c r="L11" t="s">
        <v>93</v>
      </c>
      <c r="M11" s="4" t="s">
        <v>53</v>
      </c>
      <c r="N11" s="4" t="str">
        <f t="shared" si="0"/>
        <v>High</v>
      </c>
      <c r="O11" s="4">
        <f>IF(Table13[[#This Row],[Phone distraction text]]="High",1,0)</f>
        <v>1</v>
      </c>
      <c r="P11" s="2">
        <v>3</v>
      </c>
      <c r="Q11" t="s">
        <v>91</v>
      </c>
      <c r="R11" s="4">
        <f t="shared" si="1"/>
        <v>0</v>
      </c>
      <c r="S11" t="s">
        <v>121</v>
      </c>
      <c r="T11" t="s">
        <v>50</v>
      </c>
      <c r="U11" t="s">
        <v>105</v>
      </c>
      <c r="V11" s="7" t="s">
        <v>136</v>
      </c>
      <c r="W11" s="4" t="s">
        <v>415</v>
      </c>
      <c r="X11" t="s">
        <v>57</v>
      </c>
      <c r="Y11" t="s">
        <v>78</v>
      </c>
      <c r="Z11" t="s">
        <v>95</v>
      </c>
      <c r="AA11" s="2">
        <v>4</v>
      </c>
      <c r="AB11" t="s">
        <v>113</v>
      </c>
      <c r="AC11" t="s">
        <v>82</v>
      </c>
      <c r="AD11" t="s">
        <v>107</v>
      </c>
      <c r="AE11" t="s">
        <v>53</v>
      </c>
      <c r="AF11" t="s">
        <v>83</v>
      </c>
      <c r="AG11" t="s">
        <v>64</v>
      </c>
      <c r="AH11" t="s">
        <v>66</v>
      </c>
      <c r="AI11" t="s">
        <v>64</v>
      </c>
      <c r="AJ11" t="s">
        <v>64</v>
      </c>
      <c r="AK11" t="s">
        <v>64</v>
      </c>
      <c r="AL11" t="s">
        <v>66</v>
      </c>
    </row>
    <row r="12" spans="1:38">
      <c r="A12">
        <v>19</v>
      </c>
      <c r="B12" t="s">
        <v>85</v>
      </c>
      <c r="C12" t="s">
        <v>41</v>
      </c>
      <c r="D12" t="s">
        <v>137</v>
      </c>
      <c r="E12" t="s">
        <v>68</v>
      </c>
      <c r="F12" t="s">
        <v>69</v>
      </c>
      <c r="G12" s="2">
        <v>3.6</v>
      </c>
      <c r="H12" s="2">
        <v>18</v>
      </c>
      <c r="I12" t="s">
        <v>72</v>
      </c>
      <c r="J12" t="s">
        <v>73</v>
      </c>
      <c r="K12" t="s">
        <v>138</v>
      </c>
      <c r="L12" t="s">
        <v>103</v>
      </c>
      <c r="M12" s="4" t="s">
        <v>53</v>
      </c>
      <c r="N12" s="4" t="str">
        <f t="shared" si="0"/>
        <v>High</v>
      </c>
      <c r="O12" s="4">
        <f>IF(Table13[[#This Row],[Phone distraction text]]="High",1,0)</f>
        <v>1</v>
      </c>
      <c r="P12" s="2">
        <v>15</v>
      </c>
      <c r="Q12" t="s">
        <v>91</v>
      </c>
      <c r="R12" s="4">
        <f t="shared" si="1"/>
        <v>0</v>
      </c>
      <c r="S12" t="s">
        <v>121</v>
      </c>
      <c r="T12" t="s">
        <v>50</v>
      </c>
      <c r="U12" t="s">
        <v>122</v>
      </c>
      <c r="V12" s="7" t="s">
        <v>183</v>
      </c>
      <c r="W12" s="4" t="s">
        <v>183</v>
      </c>
      <c r="X12" t="s">
        <v>56</v>
      </c>
      <c r="Y12" t="s">
        <v>56</v>
      </c>
      <c r="Z12" t="s">
        <v>58</v>
      </c>
      <c r="AA12" s="2">
        <v>5</v>
      </c>
      <c r="AB12" t="s">
        <v>113</v>
      </c>
      <c r="AC12" t="s">
        <v>61</v>
      </c>
      <c r="AD12" t="s">
        <v>62</v>
      </c>
      <c r="AE12" t="s">
        <v>63</v>
      </c>
      <c r="AF12" t="s">
        <v>61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</row>
    <row r="13" spans="1:38">
      <c r="A13">
        <v>20</v>
      </c>
      <c r="B13" t="s">
        <v>85</v>
      </c>
      <c r="C13" t="s">
        <v>41</v>
      </c>
      <c r="D13" t="s">
        <v>140</v>
      </c>
      <c r="E13" t="s">
        <v>68</v>
      </c>
      <c r="F13" t="s">
        <v>69</v>
      </c>
      <c r="G13" s="2">
        <v>3.73</v>
      </c>
      <c r="H13" s="2">
        <v>18</v>
      </c>
      <c r="I13" t="s">
        <v>110</v>
      </c>
      <c r="J13" t="s">
        <v>73</v>
      </c>
      <c r="K13" t="s">
        <v>49</v>
      </c>
      <c r="L13" t="s">
        <v>53</v>
      </c>
      <c r="M13" s="4" t="s">
        <v>53</v>
      </c>
      <c r="N13" s="4" t="str">
        <f t="shared" si="0"/>
        <v>High</v>
      </c>
      <c r="O13" s="4">
        <f>IF(Table13[[#This Row],[Phone distraction text]]="High",1,0)</f>
        <v>1</v>
      </c>
      <c r="P13" s="2">
        <v>2</v>
      </c>
      <c r="Q13" t="s">
        <v>91</v>
      </c>
      <c r="R13" s="4">
        <f t="shared" si="1"/>
        <v>0</v>
      </c>
      <c r="S13" t="s">
        <v>52</v>
      </c>
      <c r="T13" t="s">
        <v>103</v>
      </c>
      <c r="U13" t="s">
        <v>116</v>
      </c>
      <c r="V13" s="7" t="s">
        <v>111</v>
      </c>
      <c r="W13" s="4" t="s">
        <v>111</v>
      </c>
      <c r="X13" t="s">
        <v>57</v>
      </c>
      <c r="Y13" t="s">
        <v>56</v>
      </c>
      <c r="Z13" t="s">
        <v>58</v>
      </c>
      <c r="AA13" s="2">
        <v>2</v>
      </c>
      <c r="AB13" t="s">
        <v>60</v>
      </c>
      <c r="AC13" t="s">
        <v>128</v>
      </c>
      <c r="AD13" t="s">
        <v>118</v>
      </c>
      <c r="AE13" t="s">
        <v>50</v>
      </c>
      <c r="AF13" t="s">
        <v>83</v>
      </c>
      <c r="AG13" t="s">
        <v>66</v>
      </c>
      <c r="AH13" t="s">
        <v>84</v>
      </c>
      <c r="AI13" t="s">
        <v>84</v>
      </c>
      <c r="AJ13" t="s">
        <v>84</v>
      </c>
      <c r="AK13" t="s">
        <v>84</v>
      </c>
      <c r="AL13" t="s">
        <v>64</v>
      </c>
    </row>
    <row r="14" spans="1:38">
      <c r="A14">
        <v>21</v>
      </c>
      <c r="B14" t="s">
        <v>40</v>
      </c>
      <c r="C14" t="s">
        <v>41</v>
      </c>
      <c r="D14" t="s">
        <v>143</v>
      </c>
      <c r="E14" t="s">
        <v>43</v>
      </c>
      <c r="F14" t="s">
        <v>69</v>
      </c>
      <c r="G14" s="2">
        <v>4</v>
      </c>
      <c r="H14" s="2">
        <v>12</v>
      </c>
      <c r="I14" t="s">
        <v>72</v>
      </c>
      <c r="J14" t="s">
        <v>135</v>
      </c>
      <c r="K14" t="s">
        <v>49</v>
      </c>
      <c r="L14" t="s">
        <v>63</v>
      </c>
      <c r="M14" s="4" t="s">
        <v>63</v>
      </c>
      <c r="N14" s="4" t="str">
        <f t="shared" si="0"/>
        <v>High</v>
      </c>
      <c r="O14" s="4">
        <f>IF(Table13[[#This Row],[Phone distraction text]]="High",1,0)</f>
        <v>1</v>
      </c>
      <c r="P14" s="2">
        <v>3</v>
      </c>
      <c r="Q14" t="s">
        <v>51</v>
      </c>
      <c r="R14" s="4">
        <f t="shared" si="1"/>
        <v>1</v>
      </c>
      <c r="S14" t="s">
        <v>121</v>
      </c>
      <c r="T14" t="s">
        <v>63</v>
      </c>
      <c r="U14" t="s">
        <v>116</v>
      </c>
      <c r="V14" s="7" t="s">
        <v>144</v>
      </c>
      <c r="W14" s="4" t="s">
        <v>111</v>
      </c>
      <c r="X14" t="s">
        <v>56</v>
      </c>
      <c r="Y14" t="s">
        <v>56</v>
      </c>
      <c r="Z14" t="s">
        <v>58</v>
      </c>
      <c r="AA14" s="2">
        <v>5</v>
      </c>
      <c r="AB14" t="s">
        <v>60</v>
      </c>
      <c r="AC14" t="s">
        <v>61</v>
      </c>
      <c r="AD14" t="s">
        <v>97</v>
      </c>
      <c r="AE14" t="s">
        <v>63</v>
      </c>
      <c r="AF14" t="s">
        <v>61</v>
      </c>
      <c r="AG14" t="s">
        <v>64</v>
      </c>
      <c r="AH14" t="s">
        <v>64</v>
      </c>
      <c r="AI14" t="s">
        <v>84</v>
      </c>
      <c r="AJ14" t="s">
        <v>84</v>
      </c>
      <c r="AK14" t="s">
        <v>84</v>
      </c>
      <c r="AL14" t="s">
        <v>84</v>
      </c>
    </row>
    <row r="15" spans="1:38">
      <c r="A15">
        <v>22</v>
      </c>
      <c r="B15" t="s">
        <v>85</v>
      </c>
      <c r="C15" t="s">
        <v>41</v>
      </c>
      <c r="D15" t="s">
        <v>145</v>
      </c>
      <c r="E15" t="s">
        <v>43</v>
      </c>
      <c r="F15" t="s">
        <v>69</v>
      </c>
      <c r="G15" s="2">
        <v>3.94</v>
      </c>
      <c r="H15" s="2">
        <v>16</v>
      </c>
      <c r="I15" t="s">
        <v>72</v>
      </c>
      <c r="J15" t="s">
        <v>73</v>
      </c>
      <c r="K15" t="s">
        <v>148</v>
      </c>
      <c r="L15" t="s">
        <v>50</v>
      </c>
      <c r="M15" s="4" t="s">
        <v>50</v>
      </c>
      <c r="N15" s="4" t="str">
        <f t="shared" si="0"/>
        <v>Not high</v>
      </c>
      <c r="O15" s="4">
        <f>IF(Table13[[#This Row],[Phone distraction text]]="High",1,0)</f>
        <v>0</v>
      </c>
      <c r="P15" s="2">
        <v>2</v>
      </c>
      <c r="Q15" t="s">
        <v>51</v>
      </c>
      <c r="R15" s="4">
        <f t="shared" si="1"/>
        <v>1</v>
      </c>
      <c r="S15" t="s">
        <v>52</v>
      </c>
      <c r="T15" t="s">
        <v>50</v>
      </c>
      <c r="U15" t="s">
        <v>105</v>
      </c>
      <c r="V15" s="7" t="s">
        <v>157</v>
      </c>
      <c r="W15" s="4" t="s">
        <v>122</v>
      </c>
      <c r="X15" t="s">
        <v>78</v>
      </c>
      <c r="Y15" t="s">
        <v>78</v>
      </c>
      <c r="Z15" t="s">
        <v>58</v>
      </c>
      <c r="AA15" s="2">
        <v>4</v>
      </c>
      <c r="AB15" t="s">
        <v>113</v>
      </c>
      <c r="AC15" t="s">
        <v>61</v>
      </c>
      <c r="AD15" t="s">
        <v>97</v>
      </c>
      <c r="AE15" t="s">
        <v>63</v>
      </c>
      <c r="AF15" t="s">
        <v>83</v>
      </c>
      <c r="AG15" t="s">
        <v>64</v>
      </c>
      <c r="AH15" t="s">
        <v>64</v>
      </c>
      <c r="AI15" t="s">
        <v>65</v>
      </c>
      <c r="AJ15" t="s">
        <v>64</v>
      </c>
      <c r="AK15" t="s">
        <v>65</v>
      </c>
      <c r="AL15" t="s">
        <v>66</v>
      </c>
    </row>
    <row r="16" spans="1:38">
      <c r="A16">
        <v>23</v>
      </c>
      <c r="B16" t="s">
        <v>40</v>
      </c>
      <c r="C16" t="s">
        <v>132</v>
      </c>
      <c r="D16" t="s">
        <v>150</v>
      </c>
      <c r="E16" t="s">
        <v>68</v>
      </c>
      <c r="F16" t="s">
        <v>69</v>
      </c>
      <c r="G16" s="2">
        <v>4</v>
      </c>
      <c r="H16" s="2">
        <v>12</v>
      </c>
      <c r="I16" t="s">
        <v>110</v>
      </c>
      <c r="J16" t="s">
        <v>73</v>
      </c>
      <c r="K16" t="s">
        <v>49</v>
      </c>
      <c r="L16" t="s">
        <v>103</v>
      </c>
      <c r="M16" s="4" t="s">
        <v>53</v>
      </c>
      <c r="N16" s="4" t="str">
        <f t="shared" si="0"/>
        <v>High</v>
      </c>
      <c r="O16" s="4">
        <f>IF(Table13[[#This Row],[Phone distraction text]]="High",1,0)</f>
        <v>1</v>
      </c>
      <c r="P16" s="2">
        <v>3</v>
      </c>
      <c r="Q16" t="s">
        <v>91</v>
      </c>
      <c r="R16" s="4">
        <f t="shared" si="1"/>
        <v>0</v>
      </c>
      <c r="S16" t="s">
        <v>52</v>
      </c>
      <c r="T16" t="s">
        <v>103</v>
      </c>
      <c r="U16" t="s">
        <v>76</v>
      </c>
      <c r="V16" s="7" t="s">
        <v>77</v>
      </c>
      <c r="W16" s="4" t="s">
        <v>183</v>
      </c>
      <c r="X16" t="s">
        <v>78</v>
      </c>
      <c r="Y16" t="s">
        <v>56</v>
      </c>
      <c r="Z16" t="s">
        <v>151</v>
      </c>
      <c r="AA16" s="2">
        <v>4</v>
      </c>
      <c r="AB16" t="s">
        <v>60</v>
      </c>
      <c r="AC16" t="s">
        <v>61</v>
      </c>
      <c r="AD16" t="s">
        <v>62</v>
      </c>
      <c r="AE16" t="s">
        <v>63</v>
      </c>
      <c r="AF16" t="s">
        <v>83</v>
      </c>
      <c r="AG16" t="s">
        <v>64</v>
      </c>
      <c r="AH16" t="s">
        <v>64</v>
      </c>
      <c r="AI16" t="s">
        <v>65</v>
      </c>
      <c r="AJ16" t="s">
        <v>65</v>
      </c>
      <c r="AK16" t="s">
        <v>64</v>
      </c>
      <c r="AL16" t="s">
        <v>66</v>
      </c>
    </row>
    <row r="17" spans="1:38">
      <c r="A17">
        <v>24</v>
      </c>
      <c r="B17" t="s">
        <v>85</v>
      </c>
      <c r="C17" t="s">
        <v>41</v>
      </c>
      <c r="D17" t="s">
        <v>152</v>
      </c>
      <c r="E17" t="s">
        <v>43</v>
      </c>
      <c r="F17" t="s">
        <v>69</v>
      </c>
      <c r="G17" s="2">
        <v>3.88</v>
      </c>
      <c r="H17" s="2">
        <v>15</v>
      </c>
      <c r="I17" t="s">
        <v>110</v>
      </c>
      <c r="J17" t="s">
        <v>90</v>
      </c>
      <c r="K17" t="s">
        <v>148</v>
      </c>
      <c r="L17" t="s">
        <v>63</v>
      </c>
      <c r="M17" s="4" t="s">
        <v>63</v>
      </c>
      <c r="N17" s="4" t="str">
        <f t="shared" si="0"/>
        <v>High</v>
      </c>
      <c r="O17" s="4">
        <f>IF(Table13[[#This Row],[Phone distraction text]]="High",1,0)</f>
        <v>1</v>
      </c>
      <c r="P17" s="2">
        <v>2</v>
      </c>
      <c r="Q17" t="s">
        <v>154</v>
      </c>
      <c r="R17" s="4">
        <f t="shared" si="1"/>
        <v>1</v>
      </c>
      <c r="S17" t="s">
        <v>75</v>
      </c>
      <c r="T17" t="s">
        <v>63</v>
      </c>
      <c r="U17" t="s">
        <v>54</v>
      </c>
      <c r="V17" s="7" t="s">
        <v>155</v>
      </c>
      <c r="W17" s="4" t="s">
        <v>243</v>
      </c>
      <c r="X17" t="s">
        <v>56</v>
      </c>
      <c r="Y17" t="s">
        <v>56</v>
      </c>
      <c r="Z17" t="s">
        <v>58</v>
      </c>
      <c r="AA17" s="2">
        <v>3</v>
      </c>
      <c r="AB17" t="s">
        <v>60</v>
      </c>
      <c r="AC17" t="s">
        <v>82</v>
      </c>
      <c r="AD17" t="s">
        <v>118</v>
      </c>
      <c r="AE17" t="s">
        <v>53</v>
      </c>
      <c r="AF17" t="s">
        <v>83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</row>
    <row r="18" spans="1:38">
      <c r="A18">
        <v>25</v>
      </c>
      <c r="B18" t="s">
        <v>40</v>
      </c>
      <c r="C18" t="s">
        <v>41</v>
      </c>
      <c r="D18" t="s">
        <v>156</v>
      </c>
      <c r="E18" t="s">
        <v>43</v>
      </c>
      <c r="F18" t="s">
        <v>69</v>
      </c>
      <c r="G18" s="2">
        <v>4</v>
      </c>
      <c r="H18" s="2">
        <v>12</v>
      </c>
      <c r="I18" t="s">
        <v>47</v>
      </c>
      <c r="J18" t="s">
        <v>135</v>
      </c>
      <c r="K18" t="s">
        <v>49</v>
      </c>
      <c r="L18" t="s">
        <v>50</v>
      </c>
      <c r="M18" s="4" t="s">
        <v>103</v>
      </c>
      <c r="N18" s="4" t="str">
        <f t="shared" si="0"/>
        <v>Not high</v>
      </c>
      <c r="O18" s="4">
        <f>IF(Table13[[#This Row],[Phone distraction text]]="High",1,0)</f>
        <v>0</v>
      </c>
      <c r="P18" s="2">
        <v>3</v>
      </c>
      <c r="Q18" t="s">
        <v>91</v>
      </c>
      <c r="R18" s="4">
        <f t="shared" si="1"/>
        <v>0</v>
      </c>
      <c r="S18" t="s">
        <v>92</v>
      </c>
      <c r="T18" t="s">
        <v>103</v>
      </c>
      <c r="U18" t="s">
        <v>122</v>
      </c>
      <c r="V18" s="7" t="s">
        <v>157</v>
      </c>
      <c r="W18" s="4" t="s">
        <v>122</v>
      </c>
      <c r="X18" t="s">
        <v>78</v>
      </c>
      <c r="Y18" t="s">
        <v>78</v>
      </c>
      <c r="Z18" t="s">
        <v>58</v>
      </c>
      <c r="AA18" s="2">
        <v>5</v>
      </c>
      <c r="AB18" t="s">
        <v>113</v>
      </c>
      <c r="AC18" t="s">
        <v>61</v>
      </c>
      <c r="AD18" t="s">
        <v>118</v>
      </c>
      <c r="AE18" t="s">
        <v>63</v>
      </c>
      <c r="AF18" t="s">
        <v>61</v>
      </c>
      <c r="AG18" t="s">
        <v>64</v>
      </c>
      <c r="AH18" t="s">
        <v>64</v>
      </c>
      <c r="AI18" t="s">
        <v>65</v>
      </c>
      <c r="AJ18" t="s">
        <v>64</v>
      </c>
      <c r="AK18" t="s">
        <v>65</v>
      </c>
      <c r="AL18" t="s">
        <v>65</v>
      </c>
    </row>
    <row r="19" spans="1:38">
      <c r="A19">
        <v>26</v>
      </c>
      <c r="B19" t="s">
        <v>40</v>
      </c>
      <c r="C19" t="s">
        <v>41</v>
      </c>
      <c r="D19" t="s">
        <v>158</v>
      </c>
      <c r="E19" t="s">
        <v>68</v>
      </c>
      <c r="F19" t="s">
        <v>69</v>
      </c>
      <c r="G19" s="2">
        <v>3.82</v>
      </c>
      <c r="H19" s="2">
        <v>12</v>
      </c>
      <c r="I19" t="s">
        <v>110</v>
      </c>
      <c r="J19" t="s">
        <v>73</v>
      </c>
      <c r="K19" t="s">
        <v>49</v>
      </c>
      <c r="L19" t="s">
        <v>93</v>
      </c>
      <c r="M19" s="4" t="s">
        <v>53</v>
      </c>
      <c r="N19" s="4" t="str">
        <f t="shared" si="0"/>
        <v>High</v>
      </c>
      <c r="O19" s="4">
        <f>IF(Table13[[#This Row],[Phone distraction text]]="High",1,0)</f>
        <v>1</v>
      </c>
      <c r="P19" s="2">
        <v>4</v>
      </c>
      <c r="Q19" t="s">
        <v>74</v>
      </c>
      <c r="R19" s="4">
        <f t="shared" si="1"/>
        <v>1</v>
      </c>
      <c r="S19" t="s">
        <v>92</v>
      </c>
      <c r="T19" t="s">
        <v>93</v>
      </c>
      <c r="U19" t="s">
        <v>76</v>
      </c>
      <c r="V19" s="7" t="s">
        <v>160</v>
      </c>
      <c r="W19" s="4" t="s">
        <v>122</v>
      </c>
      <c r="X19" t="s">
        <v>56</v>
      </c>
      <c r="Y19" t="s">
        <v>57</v>
      </c>
      <c r="Z19" t="s">
        <v>151</v>
      </c>
      <c r="AA19" s="2">
        <v>5</v>
      </c>
      <c r="AB19" t="s">
        <v>113</v>
      </c>
      <c r="AC19" t="s">
        <v>61</v>
      </c>
      <c r="AD19" t="s">
        <v>62</v>
      </c>
      <c r="AE19" t="s">
        <v>63</v>
      </c>
      <c r="AF19" t="s">
        <v>83</v>
      </c>
      <c r="AG19" t="s">
        <v>64</v>
      </c>
      <c r="AH19" t="s">
        <v>64</v>
      </c>
      <c r="AI19" t="s">
        <v>64</v>
      </c>
      <c r="AJ19" t="s">
        <v>66</v>
      </c>
      <c r="AK19" t="s">
        <v>66</v>
      </c>
      <c r="AL19" t="s">
        <v>65</v>
      </c>
    </row>
    <row r="20" spans="1:38">
      <c r="A20">
        <v>27</v>
      </c>
      <c r="B20" t="s">
        <v>85</v>
      </c>
      <c r="C20" t="s">
        <v>86</v>
      </c>
      <c r="D20" t="s">
        <v>161</v>
      </c>
      <c r="E20" t="s">
        <v>68</v>
      </c>
      <c r="F20" t="s">
        <v>69</v>
      </c>
      <c r="G20" s="2">
        <v>3.31</v>
      </c>
      <c r="H20" s="2">
        <v>19</v>
      </c>
      <c r="I20" t="s">
        <v>110</v>
      </c>
      <c r="J20" t="s">
        <v>73</v>
      </c>
      <c r="K20" t="s">
        <v>49</v>
      </c>
      <c r="L20" t="s">
        <v>50</v>
      </c>
      <c r="M20" s="4" t="s">
        <v>50</v>
      </c>
      <c r="N20" s="4" t="str">
        <f t="shared" si="0"/>
        <v>Not high</v>
      </c>
      <c r="O20" s="4">
        <f>IF(Table13[[#This Row],[Phone distraction text]]="High",1,0)</f>
        <v>0</v>
      </c>
      <c r="P20" s="2">
        <v>7</v>
      </c>
      <c r="Q20" t="s">
        <v>51</v>
      </c>
      <c r="R20" s="4">
        <f t="shared" si="1"/>
        <v>1</v>
      </c>
      <c r="S20" t="s">
        <v>75</v>
      </c>
      <c r="T20" t="s">
        <v>50</v>
      </c>
      <c r="U20" t="s">
        <v>122</v>
      </c>
      <c r="V20" s="7" t="s">
        <v>164</v>
      </c>
      <c r="W20" s="4" t="s">
        <v>111</v>
      </c>
      <c r="X20" t="s">
        <v>78</v>
      </c>
      <c r="Y20" t="s">
        <v>57</v>
      </c>
      <c r="Z20" t="s">
        <v>58</v>
      </c>
      <c r="AA20" s="2">
        <v>3</v>
      </c>
      <c r="AB20" t="s">
        <v>113</v>
      </c>
      <c r="AC20" t="s">
        <v>82</v>
      </c>
      <c r="AD20" t="s">
        <v>165</v>
      </c>
      <c r="AE20" t="s">
        <v>63</v>
      </c>
      <c r="AF20" t="s">
        <v>83</v>
      </c>
      <c r="AG20" t="s">
        <v>84</v>
      </c>
      <c r="AH20" t="s">
        <v>84</v>
      </c>
      <c r="AI20" t="s">
        <v>84</v>
      </c>
      <c r="AJ20" t="s">
        <v>65</v>
      </c>
      <c r="AK20" t="s">
        <v>64</v>
      </c>
      <c r="AL20" t="s">
        <v>66</v>
      </c>
    </row>
    <row r="21" spans="1:38">
      <c r="A21">
        <v>28</v>
      </c>
      <c r="B21" t="s">
        <v>85</v>
      </c>
      <c r="C21" t="s">
        <v>86</v>
      </c>
      <c r="D21" t="s">
        <v>87</v>
      </c>
      <c r="E21" t="s">
        <v>68</v>
      </c>
      <c r="F21" t="s">
        <v>69</v>
      </c>
      <c r="G21" s="2">
        <v>3.7</v>
      </c>
      <c r="H21" s="2">
        <v>0</v>
      </c>
      <c r="I21" t="s">
        <v>110</v>
      </c>
      <c r="J21" t="s">
        <v>135</v>
      </c>
      <c r="K21" t="s">
        <v>167</v>
      </c>
      <c r="L21" t="s">
        <v>50</v>
      </c>
      <c r="M21" s="4" t="s">
        <v>50</v>
      </c>
      <c r="N21" s="4" t="str">
        <f t="shared" si="0"/>
        <v>Not high</v>
      </c>
      <c r="O21" s="4">
        <f>IF(Table13[[#This Row],[Phone distraction text]]="High",1,0)</f>
        <v>0</v>
      </c>
      <c r="P21" s="2">
        <v>14</v>
      </c>
      <c r="Q21" t="s">
        <v>104</v>
      </c>
      <c r="R21" s="4">
        <f t="shared" si="1"/>
        <v>0</v>
      </c>
      <c r="S21" t="s">
        <v>121</v>
      </c>
      <c r="T21" t="s">
        <v>63</v>
      </c>
      <c r="U21" t="s">
        <v>122</v>
      </c>
      <c r="V21" s="7" t="s">
        <v>160</v>
      </c>
      <c r="W21" s="4" t="s">
        <v>122</v>
      </c>
      <c r="X21" t="s">
        <v>56</v>
      </c>
      <c r="Y21" t="s">
        <v>56</v>
      </c>
      <c r="Z21" t="s">
        <v>151</v>
      </c>
      <c r="AA21" s="2">
        <v>1</v>
      </c>
      <c r="AB21" t="s">
        <v>113</v>
      </c>
      <c r="AC21" t="s">
        <v>61</v>
      </c>
      <c r="AD21" t="s">
        <v>165</v>
      </c>
      <c r="AE21" t="s">
        <v>63</v>
      </c>
      <c r="AF21" t="s">
        <v>83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</row>
    <row r="22" spans="1:38">
      <c r="A22">
        <v>29</v>
      </c>
      <c r="B22" t="s">
        <v>124</v>
      </c>
      <c r="C22" t="s">
        <v>86</v>
      </c>
      <c r="D22" t="s">
        <v>170</v>
      </c>
      <c r="E22" t="s">
        <v>68</v>
      </c>
      <c r="F22" t="s">
        <v>69</v>
      </c>
      <c r="G22" s="2">
        <v>3.6</v>
      </c>
      <c r="H22" s="2">
        <v>18</v>
      </c>
      <c r="I22" t="s">
        <v>89</v>
      </c>
      <c r="J22" t="s">
        <v>73</v>
      </c>
      <c r="K22" t="s">
        <v>49</v>
      </c>
      <c r="L22" t="s">
        <v>50</v>
      </c>
      <c r="M22" s="4" t="s">
        <v>50</v>
      </c>
      <c r="N22" s="4" t="str">
        <f t="shared" si="0"/>
        <v>Not high</v>
      </c>
      <c r="O22" s="4">
        <f>IF(Table13[[#This Row],[Phone distraction text]]="High",1,0)</f>
        <v>0</v>
      </c>
      <c r="P22" s="2">
        <v>3</v>
      </c>
      <c r="Q22" t="s">
        <v>91</v>
      </c>
      <c r="R22" s="4">
        <f t="shared" si="1"/>
        <v>0</v>
      </c>
      <c r="S22" t="s">
        <v>92</v>
      </c>
      <c r="T22" t="s">
        <v>103</v>
      </c>
      <c r="U22" t="s">
        <v>122</v>
      </c>
      <c r="V22" s="7" t="s">
        <v>171</v>
      </c>
      <c r="W22" s="4" t="s">
        <v>171</v>
      </c>
      <c r="X22" t="s">
        <v>56</v>
      </c>
      <c r="Y22" t="s">
        <v>56</v>
      </c>
      <c r="Z22" t="s">
        <v>79</v>
      </c>
      <c r="AA22" s="2">
        <v>5</v>
      </c>
      <c r="AB22" t="s">
        <v>113</v>
      </c>
      <c r="AC22" t="s">
        <v>61</v>
      </c>
      <c r="AD22" t="s">
        <v>62</v>
      </c>
      <c r="AE22" t="s">
        <v>63</v>
      </c>
      <c r="AF22" t="s">
        <v>61</v>
      </c>
      <c r="AG22" t="s">
        <v>84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</row>
    <row r="23" spans="1:38">
      <c r="A23">
        <v>30</v>
      </c>
      <c r="B23" t="s">
        <v>40</v>
      </c>
      <c r="C23" t="s">
        <v>41</v>
      </c>
      <c r="D23" t="s">
        <v>133</v>
      </c>
      <c r="E23" t="s">
        <v>68</v>
      </c>
      <c r="F23" t="s">
        <v>101</v>
      </c>
      <c r="G23" s="2">
        <v>3.4</v>
      </c>
      <c r="H23" s="2">
        <v>12</v>
      </c>
      <c r="I23" t="s">
        <v>72</v>
      </c>
      <c r="J23" t="s">
        <v>73</v>
      </c>
      <c r="K23" t="s">
        <v>49</v>
      </c>
      <c r="L23" t="s">
        <v>50</v>
      </c>
      <c r="M23" s="4" t="s">
        <v>50</v>
      </c>
      <c r="N23" s="4" t="str">
        <f t="shared" si="0"/>
        <v>Not high</v>
      </c>
      <c r="O23" s="4">
        <f>IF(Table13[[#This Row],[Phone distraction text]]="High",1,0)</f>
        <v>0</v>
      </c>
      <c r="P23" s="2">
        <v>2</v>
      </c>
      <c r="Q23" t="s">
        <v>74</v>
      </c>
      <c r="R23" s="4">
        <f t="shared" si="1"/>
        <v>1</v>
      </c>
      <c r="S23" t="s">
        <v>75</v>
      </c>
      <c r="T23" t="s">
        <v>93</v>
      </c>
      <c r="U23" t="s">
        <v>122</v>
      </c>
      <c r="V23" s="7" t="s">
        <v>160</v>
      </c>
      <c r="W23" s="4" t="s">
        <v>122</v>
      </c>
      <c r="X23" t="s">
        <v>78</v>
      </c>
      <c r="Y23" t="s">
        <v>56</v>
      </c>
      <c r="Z23" t="s">
        <v>58</v>
      </c>
      <c r="AA23" s="2">
        <v>5</v>
      </c>
      <c r="AB23" t="s">
        <v>96</v>
      </c>
      <c r="AC23" t="s">
        <v>61</v>
      </c>
      <c r="AD23" t="s">
        <v>173</v>
      </c>
      <c r="AE23" t="s">
        <v>50</v>
      </c>
      <c r="AF23" t="s">
        <v>61</v>
      </c>
      <c r="AG23" t="s">
        <v>64</v>
      </c>
      <c r="AH23" t="s">
        <v>64</v>
      </c>
      <c r="AI23" t="s">
        <v>64</v>
      </c>
      <c r="AJ23" t="s">
        <v>66</v>
      </c>
      <c r="AK23" t="s">
        <v>66</v>
      </c>
      <c r="AL23" t="s">
        <v>66</v>
      </c>
    </row>
    <row r="24" spans="1:38">
      <c r="A24">
        <v>31</v>
      </c>
      <c r="B24" t="s">
        <v>85</v>
      </c>
      <c r="C24" t="s">
        <v>86</v>
      </c>
      <c r="D24" t="s">
        <v>174</v>
      </c>
      <c r="E24" t="s">
        <v>68</v>
      </c>
      <c r="F24" t="s">
        <v>101</v>
      </c>
      <c r="G24" s="2">
        <v>3.2</v>
      </c>
      <c r="H24" s="2">
        <v>16</v>
      </c>
      <c r="I24" t="s">
        <v>47</v>
      </c>
      <c r="J24" t="s">
        <v>135</v>
      </c>
      <c r="K24" t="s">
        <v>49</v>
      </c>
      <c r="L24" t="s">
        <v>50</v>
      </c>
      <c r="M24" s="4" t="s">
        <v>103</v>
      </c>
      <c r="N24" s="4" t="str">
        <f t="shared" si="0"/>
        <v>Not high</v>
      </c>
      <c r="O24" s="4">
        <f>IF(Table13[[#This Row],[Phone distraction text]]="High",1,0)</f>
        <v>0</v>
      </c>
      <c r="P24" s="2">
        <v>3</v>
      </c>
      <c r="Q24" t="s">
        <v>104</v>
      </c>
      <c r="R24" s="4">
        <f t="shared" si="1"/>
        <v>0</v>
      </c>
      <c r="S24" t="s">
        <v>121</v>
      </c>
      <c r="T24" t="s">
        <v>103</v>
      </c>
      <c r="U24" t="s">
        <v>122</v>
      </c>
      <c r="V24" s="7" t="s">
        <v>176</v>
      </c>
      <c r="W24" s="4" t="s">
        <v>176</v>
      </c>
      <c r="X24" t="s">
        <v>56</v>
      </c>
      <c r="Y24" t="s">
        <v>78</v>
      </c>
      <c r="Z24" t="s">
        <v>177</v>
      </c>
      <c r="AA24" s="2">
        <v>4</v>
      </c>
      <c r="AB24" t="s">
        <v>60</v>
      </c>
      <c r="AC24" t="s">
        <v>178</v>
      </c>
      <c r="AD24" t="s">
        <v>118</v>
      </c>
      <c r="AE24" t="s">
        <v>53</v>
      </c>
      <c r="AF24" t="s">
        <v>178</v>
      </c>
      <c r="AG24" t="s">
        <v>64</v>
      </c>
      <c r="AH24" t="s">
        <v>64</v>
      </c>
      <c r="AI24" t="s">
        <v>65</v>
      </c>
      <c r="AJ24" t="s">
        <v>64</v>
      </c>
      <c r="AK24" t="s">
        <v>64</v>
      </c>
      <c r="AL24" t="s">
        <v>64</v>
      </c>
    </row>
    <row r="25" spans="1:38">
      <c r="A25">
        <v>32</v>
      </c>
      <c r="B25" t="s">
        <v>40</v>
      </c>
      <c r="C25" t="s">
        <v>86</v>
      </c>
      <c r="D25" t="s">
        <v>179</v>
      </c>
      <c r="E25" t="s">
        <v>68</v>
      </c>
      <c r="F25" t="s">
        <v>69</v>
      </c>
      <c r="G25" s="2">
        <v>3.9</v>
      </c>
      <c r="H25" s="2">
        <v>11</v>
      </c>
      <c r="I25" t="s">
        <v>47</v>
      </c>
      <c r="J25" t="s">
        <v>73</v>
      </c>
      <c r="K25" t="s">
        <v>49</v>
      </c>
      <c r="L25" t="s">
        <v>93</v>
      </c>
      <c r="M25" s="4" t="s">
        <v>50</v>
      </c>
      <c r="N25" s="4" t="str">
        <f t="shared" si="0"/>
        <v>Not high</v>
      </c>
      <c r="O25" s="4">
        <f>IF(Table13[[#This Row],[Phone distraction text]]="High",1,0)</f>
        <v>0</v>
      </c>
      <c r="P25" s="2">
        <v>3</v>
      </c>
      <c r="Q25" t="s">
        <v>74</v>
      </c>
      <c r="R25" s="4">
        <f t="shared" si="1"/>
        <v>1</v>
      </c>
      <c r="S25" t="s">
        <v>75</v>
      </c>
      <c r="T25" t="s">
        <v>50</v>
      </c>
      <c r="U25" t="s">
        <v>122</v>
      </c>
      <c r="V25" s="7" t="s">
        <v>111</v>
      </c>
      <c r="W25" s="4" t="s">
        <v>111</v>
      </c>
      <c r="X25" t="s">
        <v>56</v>
      </c>
      <c r="Y25" t="s">
        <v>57</v>
      </c>
      <c r="Z25" t="s">
        <v>58</v>
      </c>
      <c r="AA25" s="2">
        <v>4</v>
      </c>
      <c r="AB25" t="s">
        <v>113</v>
      </c>
      <c r="AC25" t="s">
        <v>128</v>
      </c>
      <c r="AD25" t="s">
        <v>173</v>
      </c>
      <c r="AE25" t="s">
        <v>53</v>
      </c>
      <c r="AF25" t="s">
        <v>128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</row>
    <row r="26" spans="1:38">
      <c r="A26">
        <v>33</v>
      </c>
      <c r="B26" t="s">
        <v>85</v>
      </c>
      <c r="C26" t="s">
        <v>41</v>
      </c>
      <c r="D26" t="s">
        <v>181</v>
      </c>
      <c r="E26" t="s">
        <v>43</v>
      </c>
      <c r="F26" t="s">
        <v>69</v>
      </c>
      <c r="G26" s="2">
        <v>3.78</v>
      </c>
      <c r="H26" s="2">
        <v>18</v>
      </c>
      <c r="I26" t="s">
        <v>110</v>
      </c>
      <c r="J26" t="s">
        <v>73</v>
      </c>
      <c r="K26" t="s">
        <v>49</v>
      </c>
      <c r="L26" t="s">
        <v>93</v>
      </c>
      <c r="M26" s="4" t="s">
        <v>63</v>
      </c>
      <c r="N26" s="4" t="str">
        <f t="shared" si="0"/>
        <v>High</v>
      </c>
      <c r="O26" s="4">
        <f>IF(Table13[[#This Row],[Phone distraction text]]="High",1,0)</f>
        <v>1</v>
      </c>
      <c r="P26" s="2">
        <v>2</v>
      </c>
      <c r="Q26" t="s">
        <v>51</v>
      </c>
      <c r="R26" s="4">
        <f t="shared" si="1"/>
        <v>1</v>
      </c>
      <c r="S26" t="s">
        <v>75</v>
      </c>
      <c r="T26" t="s">
        <v>50</v>
      </c>
      <c r="U26" t="s">
        <v>105</v>
      </c>
      <c r="V26" s="7" t="s">
        <v>183</v>
      </c>
      <c r="W26" s="4" t="s">
        <v>183</v>
      </c>
      <c r="X26" t="s">
        <v>56</v>
      </c>
      <c r="Y26" t="s">
        <v>56</v>
      </c>
      <c r="Z26" t="s">
        <v>58</v>
      </c>
      <c r="AA26" s="2">
        <v>4</v>
      </c>
      <c r="AB26" t="s">
        <v>113</v>
      </c>
      <c r="AC26" t="s">
        <v>82</v>
      </c>
      <c r="AD26" t="s">
        <v>97</v>
      </c>
      <c r="AE26" t="s">
        <v>53</v>
      </c>
      <c r="AF26" t="s">
        <v>83</v>
      </c>
      <c r="AG26" t="s">
        <v>84</v>
      </c>
      <c r="AH26" t="s">
        <v>65</v>
      </c>
      <c r="AI26" t="s">
        <v>84</v>
      </c>
      <c r="AJ26" t="s">
        <v>65</v>
      </c>
      <c r="AK26" t="s">
        <v>84</v>
      </c>
      <c r="AL26" t="s">
        <v>64</v>
      </c>
    </row>
    <row r="27" spans="1:38">
      <c r="A27">
        <v>34</v>
      </c>
      <c r="B27" t="s">
        <v>85</v>
      </c>
      <c r="C27" t="s">
        <v>86</v>
      </c>
      <c r="D27" t="s">
        <v>184</v>
      </c>
      <c r="E27" t="s">
        <v>68</v>
      </c>
      <c r="F27" t="s">
        <v>101</v>
      </c>
      <c r="G27" s="2">
        <v>3.72</v>
      </c>
      <c r="H27" s="2">
        <v>9</v>
      </c>
      <c r="I27" t="s">
        <v>47</v>
      </c>
      <c r="J27" t="s">
        <v>73</v>
      </c>
      <c r="K27" t="s">
        <v>49</v>
      </c>
      <c r="L27" t="s">
        <v>63</v>
      </c>
      <c r="M27" s="4" t="s">
        <v>50</v>
      </c>
      <c r="N27" s="4" t="str">
        <f t="shared" si="0"/>
        <v>Not high</v>
      </c>
      <c r="O27" s="4">
        <f>IF(Table13[[#This Row],[Phone distraction text]]="High",1,0)</f>
        <v>0</v>
      </c>
      <c r="P27" s="2">
        <v>7</v>
      </c>
      <c r="Q27" t="s">
        <v>74</v>
      </c>
      <c r="R27" s="4">
        <f t="shared" si="1"/>
        <v>1</v>
      </c>
      <c r="S27" t="s">
        <v>121</v>
      </c>
      <c r="T27" t="s">
        <v>53</v>
      </c>
      <c r="U27" t="s">
        <v>122</v>
      </c>
      <c r="V27" s="7" t="s">
        <v>418</v>
      </c>
      <c r="W27" s="4" t="s">
        <v>111</v>
      </c>
      <c r="X27" t="s">
        <v>57</v>
      </c>
      <c r="Y27" t="s">
        <v>78</v>
      </c>
      <c r="Z27" t="s">
        <v>95</v>
      </c>
      <c r="AA27" s="2">
        <v>2</v>
      </c>
      <c r="AB27" t="s">
        <v>96</v>
      </c>
      <c r="AC27" t="s">
        <v>82</v>
      </c>
      <c r="AD27" t="s">
        <v>97</v>
      </c>
      <c r="AE27" t="s">
        <v>53</v>
      </c>
      <c r="AF27" t="s">
        <v>83</v>
      </c>
      <c r="AG27" t="s">
        <v>64</v>
      </c>
      <c r="AH27" t="s">
        <v>84</v>
      </c>
      <c r="AI27" t="s">
        <v>65</v>
      </c>
      <c r="AJ27" t="s">
        <v>64</v>
      </c>
      <c r="AK27" t="s">
        <v>64</v>
      </c>
      <c r="AL27" t="s">
        <v>65</v>
      </c>
    </row>
    <row r="28" spans="1:38">
      <c r="A28">
        <v>35</v>
      </c>
      <c r="B28" t="s">
        <v>124</v>
      </c>
      <c r="C28" t="s">
        <v>86</v>
      </c>
      <c r="D28" t="s">
        <v>188</v>
      </c>
      <c r="E28" t="s">
        <v>68</v>
      </c>
      <c r="F28" t="s">
        <v>69</v>
      </c>
      <c r="G28" s="2">
        <v>3.7</v>
      </c>
      <c r="H28" s="2">
        <v>17</v>
      </c>
      <c r="I28" t="s">
        <v>189</v>
      </c>
      <c r="J28" t="s">
        <v>73</v>
      </c>
      <c r="K28" t="s">
        <v>49</v>
      </c>
      <c r="L28" t="s">
        <v>103</v>
      </c>
      <c r="M28" s="4" t="s">
        <v>50</v>
      </c>
      <c r="N28" s="4" t="str">
        <f t="shared" si="0"/>
        <v>Not high</v>
      </c>
      <c r="O28" s="4">
        <f>IF(Table13[[#This Row],[Phone distraction text]]="High",1,0)</f>
        <v>0</v>
      </c>
      <c r="P28" s="2">
        <v>2</v>
      </c>
      <c r="Q28" t="s">
        <v>74</v>
      </c>
      <c r="R28" s="4">
        <f t="shared" si="1"/>
        <v>1</v>
      </c>
      <c r="S28" t="s">
        <v>75</v>
      </c>
      <c r="T28" t="s">
        <v>93</v>
      </c>
      <c r="U28" t="s">
        <v>105</v>
      </c>
      <c r="V28" s="7" t="s">
        <v>190</v>
      </c>
      <c r="W28" s="4" t="s">
        <v>176</v>
      </c>
      <c r="X28" t="s">
        <v>78</v>
      </c>
      <c r="Y28" t="s">
        <v>56</v>
      </c>
      <c r="Z28" t="s">
        <v>95</v>
      </c>
      <c r="AA28" s="2">
        <v>4</v>
      </c>
      <c r="AB28" t="s">
        <v>113</v>
      </c>
      <c r="AC28" t="s">
        <v>82</v>
      </c>
      <c r="AD28" t="s">
        <v>118</v>
      </c>
      <c r="AE28" t="s">
        <v>53</v>
      </c>
      <c r="AF28" t="s">
        <v>83</v>
      </c>
      <c r="AG28" t="s">
        <v>64</v>
      </c>
      <c r="AH28" t="s">
        <v>64</v>
      </c>
      <c r="AI28" t="s">
        <v>84</v>
      </c>
      <c r="AJ28" t="s">
        <v>84</v>
      </c>
      <c r="AK28" t="s">
        <v>64</v>
      </c>
      <c r="AL28" t="s">
        <v>64</v>
      </c>
    </row>
    <row r="29" spans="1:38">
      <c r="A29">
        <v>36</v>
      </c>
      <c r="B29" t="s">
        <v>85</v>
      </c>
      <c r="C29" t="s">
        <v>41</v>
      </c>
      <c r="D29" t="s">
        <v>125</v>
      </c>
      <c r="E29" t="s">
        <v>68</v>
      </c>
      <c r="F29" t="s">
        <v>101</v>
      </c>
      <c r="G29" s="2">
        <v>3.92</v>
      </c>
      <c r="H29" s="2">
        <v>15</v>
      </c>
      <c r="I29" t="s">
        <v>110</v>
      </c>
      <c r="J29" t="s">
        <v>73</v>
      </c>
      <c r="K29" t="s">
        <v>49</v>
      </c>
      <c r="L29" t="s">
        <v>93</v>
      </c>
      <c r="M29" s="4" t="s">
        <v>53</v>
      </c>
      <c r="N29" s="4" t="str">
        <f t="shared" si="0"/>
        <v>High</v>
      </c>
      <c r="O29" s="4">
        <f>IF(Table13[[#This Row],[Phone distraction text]]="High",1,0)</f>
        <v>1</v>
      </c>
      <c r="P29" s="2">
        <v>3</v>
      </c>
      <c r="Q29" t="s">
        <v>104</v>
      </c>
      <c r="R29" s="4">
        <f t="shared" si="1"/>
        <v>0</v>
      </c>
      <c r="S29" t="s">
        <v>92</v>
      </c>
      <c r="T29" t="s">
        <v>93</v>
      </c>
      <c r="U29" t="s">
        <v>122</v>
      </c>
      <c r="V29" s="7" t="s">
        <v>192</v>
      </c>
      <c r="W29" s="4" t="s">
        <v>111</v>
      </c>
      <c r="X29" t="s">
        <v>56</v>
      </c>
      <c r="Y29" t="s">
        <v>57</v>
      </c>
      <c r="Z29" t="s">
        <v>112</v>
      </c>
      <c r="AA29" s="2">
        <v>5</v>
      </c>
      <c r="AB29" t="s">
        <v>113</v>
      </c>
      <c r="AC29" t="s">
        <v>61</v>
      </c>
      <c r="AD29" t="s">
        <v>107</v>
      </c>
      <c r="AE29" t="s">
        <v>63</v>
      </c>
      <c r="AF29" t="s">
        <v>61</v>
      </c>
      <c r="AG29" t="s">
        <v>193</v>
      </c>
      <c r="AH29" t="s">
        <v>64</v>
      </c>
      <c r="AI29" t="s">
        <v>65</v>
      </c>
      <c r="AJ29" t="s">
        <v>66</v>
      </c>
      <c r="AK29" t="s">
        <v>193</v>
      </c>
      <c r="AL29" t="s">
        <v>193</v>
      </c>
    </row>
    <row r="30" spans="1:38">
      <c r="A30">
        <v>37</v>
      </c>
      <c r="B30" t="s">
        <v>85</v>
      </c>
      <c r="C30" t="s">
        <v>41</v>
      </c>
      <c r="D30" t="s">
        <v>194</v>
      </c>
      <c r="E30" t="s">
        <v>43</v>
      </c>
      <c r="F30" t="s">
        <v>101</v>
      </c>
      <c r="G30" s="2">
        <v>3.9060000000000001</v>
      </c>
      <c r="H30" s="2">
        <v>19</v>
      </c>
      <c r="I30" t="s">
        <v>89</v>
      </c>
      <c r="J30" t="s">
        <v>135</v>
      </c>
      <c r="K30" t="s">
        <v>49</v>
      </c>
      <c r="L30" t="s">
        <v>53</v>
      </c>
      <c r="M30" s="4" t="s">
        <v>53</v>
      </c>
      <c r="N30" s="4" t="str">
        <f t="shared" si="0"/>
        <v>High</v>
      </c>
      <c r="O30" s="4">
        <f>IF(Table13[[#This Row],[Phone distraction text]]="High",1,0)</f>
        <v>1</v>
      </c>
      <c r="P30" s="2">
        <v>7</v>
      </c>
      <c r="Q30" t="s">
        <v>74</v>
      </c>
      <c r="R30" s="4">
        <f t="shared" si="1"/>
        <v>1</v>
      </c>
      <c r="S30" t="s">
        <v>121</v>
      </c>
      <c r="T30" t="s">
        <v>103</v>
      </c>
      <c r="U30" t="s">
        <v>116</v>
      </c>
      <c r="V30" s="7" t="s">
        <v>105</v>
      </c>
      <c r="W30" s="4" t="s">
        <v>176</v>
      </c>
      <c r="X30" t="s">
        <v>56</v>
      </c>
      <c r="Y30" t="s">
        <v>78</v>
      </c>
      <c r="Z30" t="s">
        <v>112</v>
      </c>
      <c r="AA30" s="2">
        <v>5</v>
      </c>
      <c r="AB30" t="s">
        <v>113</v>
      </c>
      <c r="AC30" t="s">
        <v>61</v>
      </c>
      <c r="AD30" t="s">
        <v>165</v>
      </c>
      <c r="AE30" t="s">
        <v>63</v>
      </c>
      <c r="AF30" t="s">
        <v>61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65</v>
      </c>
    </row>
    <row r="31" spans="1:38">
      <c r="A31">
        <v>38</v>
      </c>
      <c r="B31" t="s">
        <v>85</v>
      </c>
      <c r="C31" t="s">
        <v>41</v>
      </c>
      <c r="D31" t="s">
        <v>125</v>
      </c>
      <c r="E31" t="s">
        <v>68</v>
      </c>
      <c r="F31" t="s">
        <v>101</v>
      </c>
      <c r="G31" s="2">
        <v>3</v>
      </c>
      <c r="H31" s="2">
        <v>19</v>
      </c>
      <c r="I31" t="s">
        <v>72</v>
      </c>
      <c r="J31" t="s">
        <v>73</v>
      </c>
      <c r="K31" t="s">
        <v>49</v>
      </c>
      <c r="L31" t="s">
        <v>53</v>
      </c>
      <c r="M31" s="4" t="s">
        <v>50</v>
      </c>
      <c r="N31" s="4" t="str">
        <f t="shared" si="0"/>
        <v>Not high</v>
      </c>
      <c r="O31" s="4">
        <f>IF(Table13[[#This Row],[Phone distraction text]]="High",1,0)</f>
        <v>0</v>
      </c>
      <c r="P31" s="2">
        <v>5</v>
      </c>
      <c r="Q31" t="s">
        <v>74</v>
      </c>
      <c r="R31" s="4">
        <f t="shared" si="1"/>
        <v>1</v>
      </c>
      <c r="S31" t="s">
        <v>75</v>
      </c>
      <c r="T31" t="s">
        <v>63</v>
      </c>
      <c r="U31" t="s">
        <v>105</v>
      </c>
      <c r="V31" s="7" t="s">
        <v>196</v>
      </c>
      <c r="W31" s="4" t="s">
        <v>415</v>
      </c>
      <c r="X31" t="s">
        <v>78</v>
      </c>
      <c r="Y31" t="s">
        <v>78</v>
      </c>
      <c r="Z31" t="s">
        <v>95</v>
      </c>
      <c r="AA31" s="2">
        <v>4</v>
      </c>
      <c r="AB31" t="s">
        <v>60</v>
      </c>
      <c r="AC31" t="s">
        <v>82</v>
      </c>
      <c r="AD31" t="s">
        <v>165</v>
      </c>
      <c r="AE31" t="s">
        <v>53</v>
      </c>
      <c r="AF31" t="s">
        <v>128</v>
      </c>
      <c r="AG31" t="s">
        <v>84</v>
      </c>
      <c r="AH31" t="s">
        <v>84</v>
      </c>
      <c r="AI31" t="s">
        <v>64</v>
      </c>
      <c r="AJ31" t="s">
        <v>84</v>
      </c>
      <c r="AK31" t="s">
        <v>84</v>
      </c>
      <c r="AL31" t="s">
        <v>64</v>
      </c>
    </row>
    <row r="32" spans="1:38">
      <c r="A32">
        <v>39</v>
      </c>
      <c r="B32" t="s">
        <v>85</v>
      </c>
      <c r="C32" t="s">
        <v>41</v>
      </c>
      <c r="D32" t="s">
        <v>197</v>
      </c>
      <c r="E32" t="s">
        <v>43</v>
      </c>
      <c r="F32" t="s">
        <v>198</v>
      </c>
      <c r="G32" s="2">
        <v>3.3</v>
      </c>
      <c r="H32" s="2">
        <v>18</v>
      </c>
      <c r="I32" t="s">
        <v>189</v>
      </c>
      <c r="J32" t="s">
        <v>73</v>
      </c>
      <c r="K32" t="s">
        <v>148</v>
      </c>
      <c r="L32" t="s">
        <v>50</v>
      </c>
      <c r="M32" s="4" t="s">
        <v>50</v>
      </c>
      <c r="N32" s="4" t="str">
        <f t="shared" si="0"/>
        <v>Not high</v>
      </c>
      <c r="O32" s="4">
        <f>IF(Table13[[#This Row],[Phone distraction text]]="High",1,0)</f>
        <v>0</v>
      </c>
      <c r="P32" s="2">
        <v>8</v>
      </c>
      <c r="Q32" t="s">
        <v>91</v>
      </c>
      <c r="R32" s="4">
        <f t="shared" si="1"/>
        <v>0</v>
      </c>
      <c r="S32" t="s">
        <v>121</v>
      </c>
      <c r="T32" t="s">
        <v>103</v>
      </c>
      <c r="U32" t="s">
        <v>116</v>
      </c>
      <c r="V32" s="7" t="s">
        <v>160</v>
      </c>
      <c r="W32" s="4" t="s">
        <v>122</v>
      </c>
      <c r="X32" t="s">
        <v>56</v>
      </c>
      <c r="Y32" t="s">
        <v>57</v>
      </c>
      <c r="Z32" t="s">
        <v>201</v>
      </c>
      <c r="AA32" s="2">
        <v>4</v>
      </c>
      <c r="AB32" t="s">
        <v>202</v>
      </c>
      <c r="AC32" t="s">
        <v>61</v>
      </c>
      <c r="AD32" t="s">
        <v>97</v>
      </c>
      <c r="AE32" t="s">
        <v>63</v>
      </c>
      <c r="AF32" t="s">
        <v>61</v>
      </c>
      <c r="AG32" t="s">
        <v>64</v>
      </c>
      <c r="AH32" t="s">
        <v>64</v>
      </c>
      <c r="AI32" t="s">
        <v>65</v>
      </c>
      <c r="AJ32" t="s">
        <v>66</v>
      </c>
      <c r="AK32" t="s">
        <v>65</v>
      </c>
      <c r="AL32" t="s">
        <v>193</v>
      </c>
    </row>
    <row r="33" spans="1:38">
      <c r="A33">
        <v>40</v>
      </c>
      <c r="B33" t="s">
        <v>85</v>
      </c>
      <c r="C33" t="s">
        <v>41</v>
      </c>
      <c r="D33" t="s">
        <v>203</v>
      </c>
      <c r="E33" t="s">
        <v>43</v>
      </c>
      <c r="F33" t="s">
        <v>69</v>
      </c>
      <c r="G33" s="2">
        <v>3.64</v>
      </c>
      <c r="H33" s="2">
        <v>15</v>
      </c>
      <c r="I33" t="s">
        <v>72</v>
      </c>
      <c r="J33" t="s">
        <v>73</v>
      </c>
      <c r="K33" t="s">
        <v>49</v>
      </c>
      <c r="L33" t="s">
        <v>63</v>
      </c>
      <c r="M33" s="4" t="s">
        <v>53</v>
      </c>
      <c r="N33" s="4" t="str">
        <f t="shared" si="0"/>
        <v>High</v>
      </c>
      <c r="O33" s="4">
        <f>IF(Table13[[#This Row],[Phone distraction text]]="High",1,0)</f>
        <v>1</v>
      </c>
      <c r="P33" s="2">
        <v>5</v>
      </c>
      <c r="Q33" t="s">
        <v>74</v>
      </c>
      <c r="R33" s="4">
        <f t="shared" si="1"/>
        <v>1</v>
      </c>
      <c r="S33" t="s">
        <v>52</v>
      </c>
      <c r="T33" t="s">
        <v>93</v>
      </c>
      <c r="U33" t="s">
        <v>105</v>
      </c>
      <c r="V33" s="7" t="s">
        <v>419</v>
      </c>
      <c r="W33" s="4" t="s">
        <v>122</v>
      </c>
      <c r="X33" t="s">
        <v>56</v>
      </c>
      <c r="Y33" t="s">
        <v>78</v>
      </c>
      <c r="Z33" t="s">
        <v>79</v>
      </c>
      <c r="AA33" s="2">
        <v>4.5</v>
      </c>
      <c r="AB33" t="s">
        <v>60</v>
      </c>
      <c r="AC33" t="s">
        <v>61</v>
      </c>
      <c r="AD33" t="s">
        <v>165</v>
      </c>
      <c r="AE33" t="s">
        <v>63</v>
      </c>
      <c r="AF33" t="s">
        <v>83</v>
      </c>
      <c r="AG33" t="s">
        <v>66</v>
      </c>
      <c r="AH33" t="s">
        <v>64</v>
      </c>
      <c r="AI33" t="s">
        <v>65</v>
      </c>
      <c r="AJ33" t="s">
        <v>64</v>
      </c>
      <c r="AK33" t="s">
        <v>193</v>
      </c>
      <c r="AL33" t="s">
        <v>193</v>
      </c>
    </row>
    <row r="34" spans="1:38">
      <c r="A34">
        <v>41</v>
      </c>
      <c r="B34" t="s">
        <v>85</v>
      </c>
      <c r="C34" t="s">
        <v>41</v>
      </c>
      <c r="D34" t="s">
        <v>206</v>
      </c>
      <c r="E34" t="s">
        <v>43</v>
      </c>
      <c r="F34" t="s">
        <v>44</v>
      </c>
      <c r="G34" s="2">
        <v>3.5</v>
      </c>
      <c r="H34" s="2">
        <v>18</v>
      </c>
      <c r="I34" t="s">
        <v>72</v>
      </c>
      <c r="J34" t="s">
        <v>73</v>
      </c>
      <c r="K34" t="s">
        <v>49</v>
      </c>
      <c r="L34" t="s">
        <v>50</v>
      </c>
      <c r="M34" s="4" t="s">
        <v>50</v>
      </c>
      <c r="N34" s="4" t="str">
        <f t="shared" ref="N34:N61" si="2">IF(OR(M34="Often",M34="Always"),"High","Not high")</f>
        <v>Not high</v>
      </c>
      <c r="O34" s="4">
        <f>IF(Table13[[#This Row],[Phone distraction text]]="High",1,0)</f>
        <v>0</v>
      </c>
      <c r="P34" s="2">
        <v>2</v>
      </c>
      <c r="Q34" t="s">
        <v>104</v>
      </c>
      <c r="R34" s="4">
        <f t="shared" ref="R34:R61" si="3">IF(OR(Q34="Less than 5",Q34="5-6",Q34="6-7"),1,0)</f>
        <v>0</v>
      </c>
      <c r="S34" t="s">
        <v>92</v>
      </c>
      <c r="T34" t="s">
        <v>53</v>
      </c>
      <c r="U34" t="s">
        <v>105</v>
      </c>
      <c r="V34" s="7" t="s">
        <v>196</v>
      </c>
      <c r="W34" s="4" t="s">
        <v>111</v>
      </c>
      <c r="X34" t="s">
        <v>78</v>
      </c>
      <c r="Y34" t="s">
        <v>56</v>
      </c>
      <c r="Z34" t="s">
        <v>151</v>
      </c>
      <c r="AA34" s="2">
        <v>3</v>
      </c>
      <c r="AB34" t="s">
        <v>113</v>
      </c>
      <c r="AC34" t="s">
        <v>61</v>
      </c>
      <c r="AD34" t="s">
        <v>62</v>
      </c>
      <c r="AE34" t="s">
        <v>53</v>
      </c>
      <c r="AF34" t="s">
        <v>61</v>
      </c>
      <c r="AG34" t="s">
        <v>65</v>
      </c>
      <c r="AH34" t="s">
        <v>66</v>
      </c>
      <c r="AI34" t="s">
        <v>66</v>
      </c>
      <c r="AJ34" t="s">
        <v>64</v>
      </c>
      <c r="AK34" t="s">
        <v>64</v>
      </c>
      <c r="AL34" t="s">
        <v>65</v>
      </c>
    </row>
    <row r="35" spans="1:38">
      <c r="A35">
        <v>42</v>
      </c>
      <c r="B35" t="s">
        <v>85</v>
      </c>
      <c r="C35" t="s">
        <v>41</v>
      </c>
      <c r="D35" t="s">
        <v>208</v>
      </c>
      <c r="E35" t="s">
        <v>43</v>
      </c>
      <c r="F35" t="s">
        <v>69</v>
      </c>
      <c r="G35" s="2">
        <v>3.9</v>
      </c>
      <c r="H35" s="2">
        <v>15</v>
      </c>
      <c r="I35" t="s">
        <v>189</v>
      </c>
      <c r="J35" t="s">
        <v>73</v>
      </c>
      <c r="K35" t="s">
        <v>49</v>
      </c>
      <c r="L35" t="s">
        <v>53</v>
      </c>
      <c r="M35" s="4" t="s">
        <v>103</v>
      </c>
      <c r="N35" s="4" t="str">
        <f t="shared" si="2"/>
        <v>Not high</v>
      </c>
      <c r="O35" s="4">
        <f>IF(Table13[[#This Row],[Phone distraction text]]="High",1,0)</f>
        <v>0</v>
      </c>
      <c r="P35" s="2">
        <v>2</v>
      </c>
      <c r="Q35" t="s">
        <v>51</v>
      </c>
      <c r="R35" s="4">
        <f t="shared" si="3"/>
        <v>1</v>
      </c>
      <c r="S35" t="s">
        <v>52</v>
      </c>
      <c r="T35" t="s">
        <v>103</v>
      </c>
      <c r="U35" t="s">
        <v>105</v>
      </c>
      <c r="V35" s="7" t="s">
        <v>420</v>
      </c>
      <c r="W35" s="4" t="s">
        <v>122</v>
      </c>
      <c r="X35" t="s">
        <v>56</v>
      </c>
      <c r="Y35" t="s">
        <v>56</v>
      </c>
      <c r="Z35" t="s">
        <v>95</v>
      </c>
      <c r="AA35" s="2">
        <v>4</v>
      </c>
      <c r="AB35" t="s">
        <v>113</v>
      </c>
      <c r="AC35" t="s">
        <v>82</v>
      </c>
      <c r="AD35" t="s">
        <v>173</v>
      </c>
      <c r="AE35" t="s">
        <v>53</v>
      </c>
      <c r="AF35" t="s">
        <v>83</v>
      </c>
      <c r="AG35" t="s">
        <v>84</v>
      </c>
      <c r="AH35" t="s">
        <v>64</v>
      </c>
      <c r="AI35" t="s">
        <v>84</v>
      </c>
      <c r="AJ35" t="s">
        <v>64</v>
      </c>
      <c r="AK35" t="s">
        <v>64</v>
      </c>
      <c r="AL35" t="s">
        <v>84</v>
      </c>
    </row>
    <row r="36" spans="1:38">
      <c r="A36">
        <v>43</v>
      </c>
      <c r="B36" t="s">
        <v>85</v>
      </c>
      <c r="C36" t="s">
        <v>41</v>
      </c>
      <c r="D36" t="s">
        <v>210</v>
      </c>
      <c r="E36" t="s">
        <v>68</v>
      </c>
      <c r="F36" t="s">
        <v>101</v>
      </c>
      <c r="G36" s="2">
        <v>3.53</v>
      </c>
      <c r="H36" s="2">
        <v>15</v>
      </c>
      <c r="I36" t="s">
        <v>110</v>
      </c>
      <c r="J36" t="s">
        <v>90</v>
      </c>
      <c r="K36" t="s">
        <v>49</v>
      </c>
      <c r="L36" t="s">
        <v>93</v>
      </c>
      <c r="M36" s="4" t="s">
        <v>103</v>
      </c>
      <c r="N36" s="4" t="str">
        <f t="shared" si="2"/>
        <v>Not high</v>
      </c>
      <c r="O36" s="4">
        <f>IF(Table13[[#This Row],[Phone distraction text]]="High",1,0)</f>
        <v>0</v>
      </c>
      <c r="P36" s="2">
        <v>3</v>
      </c>
      <c r="Q36" t="s">
        <v>74</v>
      </c>
      <c r="R36" s="4">
        <f t="shared" si="3"/>
        <v>1</v>
      </c>
      <c r="S36" t="s">
        <v>121</v>
      </c>
      <c r="T36" t="s">
        <v>50</v>
      </c>
      <c r="U36" t="s">
        <v>76</v>
      </c>
      <c r="V36" s="7" t="s">
        <v>212</v>
      </c>
      <c r="W36" s="4" t="s">
        <v>176</v>
      </c>
      <c r="X36" t="s">
        <v>57</v>
      </c>
      <c r="Y36" t="s">
        <v>78</v>
      </c>
      <c r="Z36" t="s">
        <v>95</v>
      </c>
      <c r="AA36" s="2">
        <v>4</v>
      </c>
      <c r="AB36" t="s">
        <v>113</v>
      </c>
      <c r="AC36" t="s">
        <v>82</v>
      </c>
      <c r="AD36" t="s">
        <v>97</v>
      </c>
      <c r="AE36" t="s">
        <v>53</v>
      </c>
      <c r="AF36" t="s">
        <v>83</v>
      </c>
      <c r="AG36" t="s">
        <v>64</v>
      </c>
      <c r="AH36" t="s">
        <v>64</v>
      </c>
      <c r="AI36" t="s">
        <v>65</v>
      </c>
      <c r="AJ36" t="s">
        <v>64</v>
      </c>
      <c r="AK36" t="s">
        <v>64</v>
      </c>
      <c r="AL36" t="s">
        <v>65</v>
      </c>
    </row>
    <row r="37" spans="1:38">
      <c r="A37">
        <v>44</v>
      </c>
      <c r="B37" t="s">
        <v>85</v>
      </c>
      <c r="C37" t="s">
        <v>41</v>
      </c>
      <c r="D37" t="s">
        <v>213</v>
      </c>
      <c r="E37" t="s">
        <v>43</v>
      </c>
      <c r="F37" t="s">
        <v>101</v>
      </c>
      <c r="G37" s="2">
        <v>3.6</v>
      </c>
      <c r="H37" s="2">
        <v>12</v>
      </c>
      <c r="I37" t="s">
        <v>89</v>
      </c>
      <c r="J37" t="s">
        <v>73</v>
      </c>
      <c r="K37" t="s">
        <v>148</v>
      </c>
      <c r="L37" t="s">
        <v>53</v>
      </c>
      <c r="M37" s="4" t="s">
        <v>53</v>
      </c>
      <c r="N37" s="4" t="str">
        <f t="shared" si="2"/>
        <v>High</v>
      </c>
      <c r="O37" s="4">
        <f>IF(Table13[[#This Row],[Phone distraction text]]="High",1,0)</f>
        <v>1</v>
      </c>
      <c r="P37" s="2">
        <v>5</v>
      </c>
      <c r="Q37" t="s">
        <v>91</v>
      </c>
      <c r="R37" s="4">
        <f t="shared" si="3"/>
        <v>0</v>
      </c>
      <c r="S37" t="s">
        <v>121</v>
      </c>
      <c r="T37" t="s">
        <v>63</v>
      </c>
      <c r="U37" t="s">
        <v>105</v>
      </c>
      <c r="V37" s="7" t="s">
        <v>421</v>
      </c>
      <c r="W37" s="4" t="s">
        <v>415</v>
      </c>
      <c r="X37" t="s">
        <v>78</v>
      </c>
      <c r="Y37" t="s">
        <v>56</v>
      </c>
      <c r="Z37" t="s">
        <v>58</v>
      </c>
      <c r="AA37" s="2">
        <v>5</v>
      </c>
      <c r="AB37" t="s">
        <v>113</v>
      </c>
      <c r="AC37" t="s">
        <v>128</v>
      </c>
      <c r="AD37" t="s">
        <v>165</v>
      </c>
      <c r="AE37" t="s">
        <v>53</v>
      </c>
      <c r="AF37" t="s">
        <v>128</v>
      </c>
      <c r="AG37" t="s">
        <v>84</v>
      </c>
      <c r="AH37" t="s">
        <v>84</v>
      </c>
      <c r="AI37" t="s">
        <v>84</v>
      </c>
      <c r="AJ37" t="s">
        <v>64</v>
      </c>
      <c r="AK37" t="s">
        <v>64</v>
      </c>
      <c r="AL37" t="s">
        <v>64</v>
      </c>
    </row>
    <row r="38" spans="1:38">
      <c r="A38">
        <v>45</v>
      </c>
      <c r="B38" t="s">
        <v>85</v>
      </c>
      <c r="C38" t="s">
        <v>41</v>
      </c>
      <c r="D38" t="s">
        <v>215</v>
      </c>
      <c r="E38" t="s">
        <v>43</v>
      </c>
      <c r="F38" t="s">
        <v>101</v>
      </c>
      <c r="G38" s="2">
        <v>3</v>
      </c>
      <c r="H38" s="2">
        <v>15</v>
      </c>
      <c r="I38" t="s">
        <v>110</v>
      </c>
      <c r="J38" t="s">
        <v>73</v>
      </c>
      <c r="K38" t="s">
        <v>167</v>
      </c>
      <c r="L38" t="s">
        <v>103</v>
      </c>
      <c r="M38" s="4" t="s">
        <v>53</v>
      </c>
      <c r="N38" s="4" t="str">
        <f t="shared" si="2"/>
        <v>High</v>
      </c>
      <c r="O38" s="4">
        <f>IF(Table13[[#This Row],[Phone distraction text]]="High",1,0)</f>
        <v>1</v>
      </c>
      <c r="P38" s="2">
        <v>7</v>
      </c>
      <c r="Q38" t="s">
        <v>91</v>
      </c>
      <c r="R38" s="4">
        <f t="shared" si="3"/>
        <v>0</v>
      </c>
      <c r="S38" t="s">
        <v>75</v>
      </c>
      <c r="T38" t="s">
        <v>50</v>
      </c>
      <c r="U38" t="s">
        <v>54</v>
      </c>
      <c r="V38" s="7" t="s">
        <v>160</v>
      </c>
      <c r="W38" s="4" t="s">
        <v>122</v>
      </c>
      <c r="X38" t="s">
        <v>57</v>
      </c>
      <c r="Y38" t="s">
        <v>56</v>
      </c>
      <c r="Z38" t="s">
        <v>151</v>
      </c>
      <c r="AA38" s="2">
        <v>3</v>
      </c>
      <c r="AB38" t="s">
        <v>113</v>
      </c>
      <c r="AC38" t="s">
        <v>82</v>
      </c>
      <c r="AD38" t="s">
        <v>107</v>
      </c>
      <c r="AE38" t="s">
        <v>103</v>
      </c>
      <c r="AF38" t="s">
        <v>128</v>
      </c>
      <c r="AG38" t="s">
        <v>84</v>
      </c>
      <c r="AH38" t="s">
        <v>84</v>
      </c>
      <c r="AI38" t="s">
        <v>65</v>
      </c>
      <c r="AJ38" t="s">
        <v>64</v>
      </c>
      <c r="AK38" t="s">
        <v>84</v>
      </c>
      <c r="AL38" t="s">
        <v>66</v>
      </c>
    </row>
    <row r="39" spans="1:38">
      <c r="A39">
        <v>46</v>
      </c>
      <c r="B39" t="s">
        <v>85</v>
      </c>
      <c r="C39" t="s">
        <v>41</v>
      </c>
      <c r="D39" t="s">
        <v>217</v>
      </c>
      <c r="E39" t="s">
        <v>43</v>
      </c>
      <c r="F39" t="s">
        <v>69</v>
      </c>
      <c r="G39" s="2">
        <v>2.9</v>
      </c>
      <c r="H39" s="2">
        <v>18</v>
      </c>
      <c r="I39" t="s">
        <v>110</v>
      </c>
      <c r="J39" t="s">
        <v>48</v>
      </c>
      <c r="K39" t="s">
        <v>148</v>
      </c>
      <c r="L39" t="s">
        <v>53</v>
      </c>
      <c r="M39" s="4" t="s">
        <v>53</v>
      </c>
      <c r="N39" s="4" t="str">
        <f t="shared" si="2"/>
        <v>High</v>
      </c>
      <c r="O39" s="4">
        <f>IF(Table13[[#This Row],[Phone distraction text]]="High",1,0)</f>
        <v>1</v>
      </c>
      <c r="P39" s="2">
        <v>5</v>
      </c>
      <c r="Q39" t="s">
        <v>51</v>
      </c>
      <c r="R39" s="4">
        <f t="shared" si="3"/>
        <v>1</v>
      </c>
      <c r="S39" t="s">
        <v>121</v>
      </c>
      <c r="T39" t="s">
        <v>53</v>
      </c>
      <c r="U39" t="s">
        <v>122</v>
      </c>
      <c r="V39" s="7" t="s">
        <v>422</v>
      </c>
      <c r="W39" s="4" t="s">
        <v>122</v>
      </c>
      <c r="X39" t="s">
        <v>56</v>
      </c>
      <c r="Y39" t="s">
        <v>56</v>
      </c>
      <c r="Z39" t="s">
        <v>58</v>
      </c>
      <c r="AA39" s="2">
        <v>4</v>
      </c>
      <c r="AB39" t="s">
        <v>81</v>
      </c>
      <c r="AC39" t="s">
        <v>178</v>
      </c>
      <c r="AD39" t="s">
        <v>62</v>
      </c>
      <c r="AE39" t="s">
        <v>50</v>
      </c>
      <c r="AF39" t="s">
        <v>178</v>
      </c>
      <c r="AG39" t="s">
        <v>64</v>
      </c>
      <c r="AH39" t="s">
        <v>65</v>
      </c>
      <c r="AI39" t="s">
        <v>65</v>
      </c>
      <c r="AJ39" t="s">
        <v>64</v>
      </c>
      <c r="AK39" t="s">
        <v>64</v>
      </c>
      <c r="AL39" t="s">
        <v>64</v>
      </c>
    </row>
    <row r="40" spans="1:38">
      <c r="A40">
        <v>47</v>
      </c>
      <c r="B40" t="s">
        <v>85</v>
      </c>
      <c r="C40" t="s">
        <v>41</v>
      </c>
      <c r="D40" t="s">
        <v>220</v>
      </c>
      <c r="E40" t="s">
        <v>68</v>
      </c>
      <c r="F40" t="s">
        <v>101</v>
      </c>
      <c r="G40" s="2">
        <v>3.4</v>
      </c>
      <c r="H40" s="2">
        <v>9</v>
      </c>
      <c r="I40" t="s">
        <v>110</v>
      </c>
      <c r="J40" t="s">
        <v>73</v>
      </c>
      <c r="K40" t="s">
        <v>49</v>
      </c>
      <c r="L40" t="s">
        <v>50</v>
      </c>
      <c r="M40" s="4" t="s">
        <v>53</v>
      </c>
      <c r="N40" s="4" t="str">
        <f t="shared" si="2"/>
        <v>High</v>
      </c>
      <c r="O40" s="4">
        <f>IF(Table13[[#This Row],[Phone distraction text]]="High",1,0)</f>
        <v>1</v>
      </c>
      <c r="P40" s="2">
        <v>3</v>
      </c>
      <c r="Q40" t="s">
        <v>91</v>
      </c>
      <c r="R40" s="4">
        <f t="shared" si="3"/>
        <v>0</v>
      </c>
      <c r="S40" t="s">
        <v>75</v>
      </c>
      <c r="T40" t="s">
        <v>53</v>
      </c>
      <c r="U40" t="s">
        <v>105</v>
      </c>
      <c r="V40" s="7" t="s">
        <v>183</v>
      </c>
      <c r="W40" s="4" t="s">
        <v>183</v>
      </c>
      <c r="X40" t="s">
        <v>78</v>
      </c>
      <c r="Y40" t="s">
        <v>78</v>
      </c>
      <c r="Z40" t="s">
        <v>95</v>
      </c>
      <c r="AA40" s="2">
        <v>5</v>
      </c>
      <c r="AB40" t="s">
        <v>113</v>
      </c>
      <c r="AC40" t="s">
        <v>61</v>
      </c>
      <c r="AD40" t="s">
        <v>97</v>
      </c>
      <c r="AE40" t="s">
        <v>63</v>
      </c>
      <c r="AF40" t="s">
        <v>61</v>
      </c>
      <c r="AG40" t="s">
        <v>66</v>
      </c>
      <c r="AH40" t="s">
        <v>65</v>
      </c>
      <c r="AI40" t="s">
        <v>65</v>
      </c>
      <c r="AJ40" t="s">
        <v>66</v>
      </c>
      <c r="AK40" t="s">
        <v>193</v>
      </c>
      <c r="AL40" t="s">
        <v>66</v>
      </c>
    </row>
    <row r="41" spans="1:38">
      <c r="A41">
        <v>48</v>
      </c>
      <c r="B41" t="s">
        <v>85</v>
      </c>
      <c r="C41" t="s">
        <v>41</v>
      </c>
      <c r="D41" t="s">
        <v>222</v>
      </c>
      <c r="E41" t="s">
        <v>68</v>
      </c>
      <c r="F41" t="s">
        <v>101</v>
      </c>
      <c r="G41" s="2">
        <v>3.82</v>
      </c>
      <c r="H41" s="2">
        <v>15</v>
      </c>
      <c r="I41" t="s">
        <v>72</v>
      </c>
      <c r="J41" t="s">
        <v>73</v>
      </c>
      <c r="K41" t="s">
        <v>49</v>
      </c>
      <c r="L41" t="s">
        <v>50</v>
      </c>
      <c r="M41" s="4" t="s">
        <v>53</v>
      </c>
      <c r="N41" s="4" t="str">
        <f t="shared" si="2"/>
        <v>High</v>
      </c>
      <c r="O41" s="4">
        <f>IF(Table13[[#This Row],[Phone distraction text]]="High",1,0)</f>
        <v>1</v>
      </c>
      <c r="P41" s="2">
        <v>5</v>
      </c>
      <c r="Q41" t="s">
        <v>91</v>
      </c>
      <c r="R41" s="4">
        <f t="shared" si="3"/>
        <v>0</v>
      </c>
      <c r="S41" t="s">
        <v>52</v>
      </c>
      <c r="T41" t="s">
        <v>103</v>
      </c>
      <c r="U41" t="s">
        <v>105</v>
      </c>
      <c r="V41" s="7" t="s">
        <v>111</v>
      </c>
      <c r="W41" s="4" t="s">
        <v>111</v>
      </c>
      <c r="X41" t="s">
        <v>78</v>
      </c>
      <c r="Y41" t="s">
        <v>56</v>
      </c>
      <c r="Z41" t="s">
        <v>95</v>
      </c>
      <c r="AA41" s="2">
        <v>5</v>
      </c>
      <c r="AB41" t="s">
        <v>113</v>
      </c>
      <c r="AC41" t="s">
        <v>82</v>
      </c>
      <c r="AD41" t="s">
        <v>97</v>
      </c>
      <c r="AE41" t="s">
        <v>53</v>
      </c>
      <c r="AF41" t="s">
        <v>83</v>
      </c>
      <c r="AG41" t="s">
        <v>84</v>
      </c>
      <c r="AH41" t="s">
        <v>84</v>
      </c>
      <c r="AI41" t="s">
        <v>64</v>
      </c>
      <c r="AJ41" t="s">
        <v>65</v>
      </c>
      <c r="AK41" t="s">
        <v>65</v>
      </c>
      <c r="AL41" t="s">
        <v>64</v>
      </c>
    </row>
    <row r="42" spans="1:38">
      <c r="A42">
        <v>49</v>
      </c>
      <c r="B42" t="s">
        <v>124</v>
      </c>
      <c r="C42" t="s">
        <v>41</v>
      </c>
      <c r="D42" t="s">
        <v>223</v>
      </c>
      <c r="E42" t="s">
        <v>68</v>
      </c>
      <c r="F42" t="s">
        <v>101</v>
      </c>
      <c r="G42" s="2">
        <v>3.67</v>
      </c>
      <c r="H42" s="2">
        <v>15</v>
      </c>
      <c r="I42" t="s">
        <v>72</v>
      </c>
      <c r="J42" t="s">
        <v>135</v>
      </c>
      <c r="K42" t="s">
        <v>148</v>
      </c>
      <c r="L42" t="s">
        <v>53</v>
      </c>
      <c r="M42" s="4" t="s">
        <v>50</v>
      </c>
      <c r="N42" s="4" t="str">
        <f t="shared" si="2"/>
        <v>Not high</v>
      </c>
      <c r="O42" s="4">
        <f>IF(Table13[[#This Row],[Phone distraction text]]="High",1,0)</f>
        <v>0</v>
      </c>
      <c r="P42" s="2">
        <v>2</v>
      </c>
      <c r="Q42" t="s">
        <v>74</v>
      </c>
      <c r="R42" s="4">
        <f t="shared" si="3"/>
        <v>1</v>
      </c>
      <c r="S42" t="s">
        <v>52</v>
      </c>
      <c r="T42" t="s">
        <v>50</v>
      </c>
      <c r="U42" t="s">
        <v>116</v>
      </c>
      <c r="V42" s="7" t="s">
        <v>196</v>
      </c>
      <c r="W42" s="4" t="s">
        <v>415</v>
      </c>
      <c r="X42" t="s">
        <v>56</v>
      </c>
      <c r="Y42" t="s">
        <v>78</v>
      </c>
      <c r="Z42" t="s">
        <v>79</v>
      </c>
      <c r="AA42" s="2">
        <v>4</v>
      </c>
      <c r="AB42" t="s">
        <v>113</v>
      </c>
      <c r="AC42" t="s">
        <v>82</v>
      </c>
      <c r="AD42" t="s">
        <v>62</v>
      </c>
      <c r="AE42" t="s">
        <v>53</v>
      </c>
      <c r="AF42" t="s">
        <v>83</v>
      </c>
      <c r="AG42" t="s">
        <v>84</v>
      </c>
      <c r="AH42" t="s">
        <v>84</v>
      </c>
      <c r="AI42" t="s">
        <v>84</v>
      </c>
      <c r="AJ42" t="s">
        <v>64</v>
      </c>
      <c r="AK42" t="s">
        <v>65</v>
      </c>
      <c r="AL42" t="s">
        <v>64</v>
      </c>
    </row>
    <row r="43" spans="1:38">
      <c r="A43">
        <v>50</v>
      </c>
      <c r="B43" t="s">
        <v>85</v>
      </c>
      <c r="C43" t="s">
        <v>41</v>
      </c>
      <c r="D43" t="s">
        <v>226</v>
      </c>
      <c r="E43" t="s">
        <v>68</v>
      </c>
      <c r="F43" t="s">
        <v>101</v>
      </c>
      <c r="G43" s="2">
        <v>3.2</v>
      </c>
      <c r="H43" s="2">
        <v>18</v>
      </c>
      <c r="I43" t="s">
        <v>47</v>
      </c>
      <c r="J43" t="s">
        <v>73</v>
      </c>
      <c r="K43" t="s">
        <v>49</v>
      </c>
      <c r="L43" t="s">
        <v>63</v>
      </c>
      <c r="M43" s="4" t="s">
        <v>53</v>
      </c>
      <c r="N43" s="4" t="str">
        <f t="shared" si="2"/>
        <v>High</v>
      </c>
      <c r="O43" s="4">
        <f>IF(Table13[[#This Row],[Phone distraction text]]="High",1,0)</f>
        <v>1</v>
      </c>
      <c r="P43" s="2">
        <v>1</v>
      </c>
      <c r="Q43" t="s">
        <v>91</v>
      </c>
      <c r="R43" s="4">
        <f t="shared" si="3"/>
        <v>0</v>
      </c>
      <c r="S43" t="s">
        <v>75</v>
      </c>
      <c r="T43" t="s">
        <v>103</v>
      </c>
      <c r="U43" t="s">
        <v>116</v>
      </c>
      <c r="V43" s="7" t="s">
        <v>423</v>
      </c>
      <c r="W43" s="4" t="s">
        <v>243</v>
      </c>
      <c r="X43" t="s">
        <v>78</v>
      </c>
      <c r="Y43" t="s">
        <v>78</v>
      </c>
      <c r="Z43" t="s">
        <v>95</v>
      </c>
      <c r="AA43" s="2">
        <v>3</v>
      </c>
      <c r="AB43" t="s">
        <v>60</v>
      </c>
      <c r="AC43" t="s">
        <v>128</v>
      </c>
      <c r="AD43" t="s">
        <v>165</v>
      </c>
      <c r="AE43" t="s">
        <v>53</v>
      </c>
      <c r="AF43" t="s">
        <v>83</v>
      </c>
      <c r="AG43" t="s">
        <v>84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</row>
    <row r="44" spans="1:38">
      <c r="A44">
        <v>51</v>
      </c>
      <c r="B44" t="s">
        <v>85</v>
      </c>
      <c r="C44" t="s">
        <v>41</v>
      </c>
      <c r="D44" t="s">
        <v>125</v>
      </c>
      <c r="E44" t="s">
        <v>68</v>
      </c>
      <c r="F44" t="s">
        <v>101</v>
      </c>
      <c r="G44" s="2">
        <v>3.46</v>
      </c>
      <c r="H44" s="2">
        <v>15</v>
      </c>
      <c r="I44" t="s">
        <v>110</v>
      </c>
      <c r="J44" t="s">
        <v>73</v>
      </c>
      <c r="K44" t="s">
        <v>49</v>
      </c>
      <c r="L44" t="s">
        <v>103</v>
      </c>
      <c r="M44" s="4" t="s">
        <v>50</v>
      </c>
      <c r="N44" s="4" t="str">
        <f t="shared" si="2"/>
        <v>Not high</v>
      </c>
      <c r="O44" s="4">
        <f>IF(Table13[[#This Row],[Phone distraction text]]="High",1,0)</f>
        <v>0</v>
      </c>
      <c r="P44" s="2">
        <v>5</v>
      </c>
      <c r="Q44" t="s">
        <v>74</v>
      </c>
      <c r="R44" s="4">
        <f t="shared" si="3"/>
        <v>1</v>
      </c>
      <c r="S44" t="s">
        <v>92</v>
      </c>
      <c r="T44" t="s">
        <v>53</v>
      </c>
      <c r="U44" t="s">
        <v>54</v>
      </c>
      <c r="V44" s="7" t="s">
        <v>183</v>
      </c>
      <c r="W44" s="4" t="s">
        <v>183</v>
      </c>
      <c r="X44" t="s">
        <v>57</v>
      </c>
      <c r="Y44" t="s">
        <v>56</v>
      </c>
      <c r="Z44" t="s">
        <v>229</v>
      </c>
      <c r="AA44" s="2">
        <v>3</v>
      </c>
      <c r="AB44" t="s">
        <v>60</v>
      </c>
      <c r="AC44" t="s">
        <v>82</v>
      </c>
      <c r="AD44" t="s">
        <v>62</v>
      </c>
      <c r="AE44" t="s">
        <v>63</v>
      </c>
      <c r="AF44" t="s">
        <v>61</v>
      </c>
      <c r="AG44" t="s">
        <v>84</v>
      </c>
      <c r="AH44" t="s">
        <v>64</v>
      </c>
      <c r="AI44" t="s">
        <v>64</v>
      </c>
      <c r="AJ44" t="s">
        <v>84</v>
      </c>
      <c r="AK44" t="s">
        <v>84</v>
      </c>
      <c r="AL44" t="s">
        <v>64</v>
      </c>
    </row>
    <row r="45" spans="1:38">
      <c r="A45">
        <v>52</v>
      </c>
      <c r="B45" t="s">
        <v>85</v>
      </c>
      <c r="C45" t="s">
        <v>41</v>
      </c>
      <c r="D45" t="s">
        <v>230</v>
      </c>
      <c r="E45" t="s">
        <v>43</v>
      </c>
      <c r="F45" t="s">
        <v>101</v>
      </c>
      <c r="G45" s="2">
        <v>3.7</v>
      </c>
      <c r="H45" s="2">
        <v>9</v>
      </c>
      <c r="I45" t="s">
        <v>110</v>
      </c>
      <c r="J45" t="s">
        <v>73</v>
      </c>
      <c r="K45" t="s">
        <v>49</v>
      </c>
      <c r="L45" t="s">
        <v>93</v>
      </c>
      <c r="M45" s="4" t="s">
        <v>53</v>
      </c>
      <c r="N45" s="4" t="str">
        <f t="shared" si="2"/>
        <v>High</v>
      </c>
      <c r="O45" s="4">
        <f>IF(Table13[[#This Row],[Phone distraction text]]="High",1,0)</f>
        <v>1</v>
      </c>
      <c r="P45" s="2">
        <v>3</v>
      </c>
      <c r="Q45" t="s">
        <v>91</v>
      </c>
      <c r="R45" s="4">
        <f t="shared" si="3"/>
        <v>0</v>
      </c>
      <c r="S45" t="s">
        <v>92</v>
      </c>
      <c r="T45" t="s">
        <v>50</v>
      </c>
      <c r="U45" t="s">
        <v>122</v>
      </c>
      <c r="V45" s="7" t="s">
        <v>196</v>
      </c>
      <c r="W45" s="4" t="s">
        <v>415</v>
      </c>
      <c r="X45" t="s">
        <v>56</v>
      </c>
      <c r="Y45" t="s">
        <v>57</v>
      </c>
      <c r="Z45" t="s">
        <v>231</v>
      </c>
      <c r="AA45" s="2">
        <v>5</v>
      </c>
      <c r="AB45" t="s">
        <v>113</v>
      </c>
      <c r="AC45" t="s">
        <v>128</v>
      </c>
      <c r="AD45" t="s">
        <v>62</v>
      </c>
      <c r="AE45" t="s">
        <v>50</v>
      </c>
      <c r="AF45" t="s">
        <v>128</v>
      </c>
      <c r="AG45" t="s">
        <v>64</v>
      </c>
      <c r="AH45" t="s">
        <v>84</v>
      </c>
      <c r="AI45" t="s">
        <v>64</v>
      </c>
      <c r="AJ45" t="s">
        <v>64</v>
      </c>
      <c r="AK45" t="s">
        <v>64</v>
      </c>
      <c r="AL45" t="s">
        <v>64</v>
      </c>
    </row>
    <row r="46" spans="1:38">
      <c r="A46">
        <v>53</v>
      </c>
      <c r="B46" t="s">
        <v>85</v>
      </c>
      <c r="C46" t="s">
        <v>41</v>
      </c>
      <c r="D46" t="s">
        <v>232</v>
      </c>
      <c r="E46" t="s">
        <v>43</v>
      </c>
      <c r="F46" t="s">
        <v>101</v>
      </c>
      <c r="G46" s="2">
        <v>3.5</v>
      </c>
      <c r="H46" s="2">
        <v>12</v>
      </c>
      <c r="I46" t="s">
        <v>110</v>
      </c>
      <c r="J46" t="s">
        <v>73</v>
      </c>
      <c r="K46" t="s">
        <v>49</v>
      </c>
      <c r="L46" t="s">
        <v>50</v>
      </c>
      <c r="M46" s="4" t="s">
        <v>63</v>
      </c>
      <c r="N46" s="4" t="str">
        <f t="shared" si="2"/>
        <v>High</v>
      </c>
      <c r="O46" s="4">
        <f>IF(Table13[[#This Row],[Phone distraction text]]="High",1,0)</f>
        <v>1</v>
      </c>
      <c r="P46" s="2">
        <v>3</v>
      </c>
      <c r="Q46" t="s">
        <v>104</v>
      </c>
      <c r="R46" s="4">
        <f t="shared" si="3"/>
        <v>0</v>
      </c>
      <c r="S46" t="s">
        <v>121</v>
      </c>
      <c r="T46" t="s">
        <v>103</v>
      </c>
      <c r="U46" t="s">
        <v>105</v>
      </c>
      <c r="V46" s="7" t="s">
        <v>424</v>
      </c>
      <c r="W46" s="4" t="s">
        <v>243</v>
      </c>
      <c r="X46" t="s">
        <v>57</v>
      </c>
      <c r="Y46" t="s">
        <v>78</v>
      </c>
      <c r="Z46" t="s">
        <v>95</v>
      </c>
      <c r="AA46" s="2">
        <v>4</v>
      </c>
      <c r="AB46" t="s">
        <v>113</v>
      </c>
      <c r="AC46" t="s">
        <v>61</v>
      </c>
      <c r="AD46" t="s">
        <v>97</v>
      </c>
      <c r="AE46" t="s">
        <v>50</v>
      </c>
      <c r="AF46" t="s">
        <v>83</v>
      </c>
      <c r="AG46" t="s">
        <v>64</v>
      </c>
      <c r="AH46" t="s">
        <v>64</v>
      </c>
      <c r="AI46" t="s">
        <v>64</v>
      </c>
      <c r="AJ46" t="s">
        <v>65</v>
      </c>
      <c r="AK46" t="s">
        <v>84</v>
      </c>
      <c r="AL46" t="s">
        <v>66</v>
      </c>
    </row>
    <row r="47" spans="1:38">
      <c r="A47">
        <v>54</v>
      </c>
      <c r="B47" t="s">
        <v>85</v>
      </c>
      <c r="C47" t="s">
        <v>41</v>
      </c>
      <c r="D47" t="s">
        <v>210</v>
      </c>
      <c r="E47" t="s">
        <v>68</v>
      </c>
      <c r="F47" t="s">
        <v>101</v>
      </c>
      <c r="G47" s="2">
        <v>3.5</v>
      </c>
      <c r="H47" s="2">
        <v>12</v>
      </c>
      <c r="I47" t="s">
        <v>110</v>
      </c>
      <c r="J47" t="s">
        <v>73</v>
      </c>
      <c r="K47" t="s">
        <v>49</v>
      </c>
      <c r="L47" t="s">
        <v>53</v>
      </c>
      <c r="M47" s="4" t="s">
        <v>50</v>
      </c>
      <c r="N47" s="4" t="str">
        <f t="shared" si="2"/>
        <v>Not high</v>
      </c>
      <c r="O47" s="4">
        <f>IF(Table13[[#This Row],[Phone distraction text]]="High",1,0)</f>
        <v>0</v>
      </c>
      <c r="P47" s="2">
        <v>7</v>
      </c>
      <c r="Q47" t="s">
        <v>74</v>
      </c>
      <c r="R47" s="4">
        <f t="shared" si="3"/>
        <v>1</v>
      </c>
      <c r="S47" t="s">
        <v>92</v>
      </c>
      <c r="T47" t="s">
        <v>103</v>
      </c>
      <c r="U47" t="s">
        <v>105</v>
      </c>
      <c r="V47" s="7" t="s">
        <v>183</v>
      </c>
      <c r="W47" s="4" t="s">
        <v>183</v>
      </c>
      <c r="X47" t="s">
        <v>56</v>
      </c>
      <c r="Y47" t="s">
        <v>56</v>
      </c>
      <c r="Z47" t="s">
        <v>95</v>
      </c>
      <c r="AA47" s="2">
        <v>5</v>
      </c>
      <c r="AB47" t="s">
        <v>113</v>
      </c>
      <c r="AC47" t="s">
        <v>82</v>
      </c>
      <c r="AD47" t="s">
        <v>62</v>
      </c>
      <c r="AE47" t="s">
        <v>50</v>
      </c>
      <c r="AF47" t="s">
        <v>83</v>
      </c>
      <c r="AG47" t="s">
        <v>64</v>
      </c>
      <c r="AH47" t="s">
        <v>64</v>
      </c>
      <c r="AI47" t="s">
        <v>64</v>
      </c>
      <c r="AJ47" t="s">
        <v>65</v>
      </c>
      <c r="AK47" t="s">
        <v>64</v>
      </c>
      <c r="AL47" t="s">
        <v>65</v>
      </c>
    </row>
    <row r="48" spans="1:38">
      <c r="A48">
        <v>55</v>
      </c>
      <c r="B48" t="s">
        <v>85</v>
      </c>
      <c r="C48" t="s">
        <v>41</v>
      </c>
      <c r="D48" t="s">
        <v>230</v>
      </c>
      <c r="E48" t="s">
        <v>68</v>
      </c>
      <c r="F48" t="s">
        <v>44</v>
      </c>
      <c r="G48" s="2">
        <v>3.58</v>
      </c>
      <c r="H48" s="2">
        <v>15</v>
      </c>
      <c r="I48" t="s">
        <v>47</v>
      </c>
      <c r="J48" t="s">
        <v>73</v>
      </c>
      <c r="K48" t="s">
        <v>49</v>
      </c>
      <c r="L48" t="s">
        <v>93</v>
      </c>
      <c r="M48" s="4" t="s">
        <v>50</v>
      </c>
      <c r="N48" s="4" t="str">
        <f t="shared" si="2"/>
        <v>Not high</v>
      </c>
      <c r="O48" s="4">
        <f>IF(Table13[[#This Row],[Phone distraction text]]="High",1,0)</f>
        <v>0</v>
      </c>
      <c r="P48" s="2">
        <v>3</v>
      </c>
      <c r="Q48" t="s">
        <v>91</v>
      </c>
      <c r="R48" s="4">
        <f t="shared" si="3"/>
        <v>0</v>
      </c>
      <c r="S48" t="s">
        <v>121</v>
      </c>
      <c r="T48" t="s">
        <v>103</v>
      </c>
      <c r="U48" t="s">
        <v>122</v>
      </c>
      <c r="V48" s="7" t="s">
        <v>196</v>
      </c>
      <c r="W48" s="4" t="s">
        <v>111</v>
      </c>
      <c r="X48" t="s">
        <v>56</v>
      </c>
      <c r="Y48" t="s">
        <v>57</v>
      </c>
      <c r="Z48" t="s">
        <v>151</v>
      </c>
      <c r="AA48" s="2">
        <v>5</v>
      </c>
      <c r="AB48" t="s">
        <v>113</v>
      </c>
      <c r="AC48" t="s">
        <v>82</v>
      </c>
      <c r="AD48" t="s">
        <v>237</v>
      </c>
      <c r="AE48" t="s">
        <v>50</v>
      </c>
      <c r="AF48" t="s">
        <v>83</v>
      </c>
      <c r="AG48" t="s">
        <v>64</v>
      </c>
      <c r="AH48" t="s">
        <v>64</v>
      </c>
      <c r="AI48" t="s">
        <v>65</v>
      </c>
      <c r="AJ48" t="s">
        <v>64</v>
      </c>
      <c r="AK48" t="s">
        <v>84</v>
      </c>
      <c r="AL48" t="s">
        <v>66</v>
      </c>
    </row>
    <row r="49" spans="1:38">
      <c r="A49">
        <v>56</v>
      </c>
      <c r="B49" t="s">
        <v>85</v>
      </c>
      <c r="C49" t="s">
        <v>41</v>
      </c>
      <c r="D49" t="s">
        <v>238</v>
      </c>
      <c r="E49" t="s">
        <v>68</v>
      </c>
      <c r="F49" t="s">
        <v>239</v>
      </c>
      <c r="G49" s="2">
        <v>2.9</v>
      </c>
      <c r="H49" s="2">
        <v>15</v>
      </c>
      <c r="I49" t="s">
        <v>72</v>
      </c>
      <c r="J49" t="s">
        <v>73</v>
      </c>
      <c r="K49" t="s">
        <v>167</v>
      </c>
      <c r="L49" t="s">
        <v>53</v>
      </c>
      <c r="M49" s="4" t="s">
        <v>53</v>
      </c>
      <c r="N49" s="4" t="str">
        <f t="shared" si="2"/>
        <v>High</v>
      </c>
      <c r="O49" s="4">
        <f>IF(Table13[[#This Row],[Phone distraction text]]="High",1,0)</f>
        <v>1</v>
      </c>
      <c r="P49" s="2">
        <v>5</v>
      </c>
      <c r="Q49" t="s">
        <v>74</v>
      </c>
      <c r="R49" s="4">
        <f t="shared" si="3"/>
        <v>1</v>
      </c>
      <c r="S49" t="s">
        <v>52</v>
      </c>
      <c r="T49" t="s">
        <v>53</v>
      </c>
      <c r="U49" t="s">
        <v>54</v>
      </c>
      <c r="V49" s="7" t="s">
        <v>55</v>
      </c>
      <c r="W49" s="4" t="s">
        <v>111</v>
      </c>
      <c r="X49" t="s">
        <v>56</v>
      </c>
      <c r="Y49" t="s">
        <v>56</v>
      </c>
      <c r="Z49" t="s">
        <v>151</v>
      </c>
      <c r="AA49" s="2">
        <v>5</v>
      </c>
      <c r="AB49" t="s">
        <v>113</v>
      </c>
      <c r="AC49" t="s">
        <v>82</v>
      </c>
      <c r="AD49" t="s">
        <v>97</v>
      </c>
      <c r="AE49" t="s">
        <v>63</v>
      </c>
      <c r="AF49" t="s">
        <v>61</v>
      </c>
      <c r="AG49" t="s">
        <v>65</v>
      </c>
      <c r="AH49" t="s">
        <v>64</v>
      </c>
      <c r="AI49" t="s">
        <v>64</v>
      </c>
      <c r="AJ49" t="s">
        <v>64</v>
      </c>
      <c r="AK49" t="s">
        <v>65</v>
      </c>
      <c r="AL49" t="s">
        <v>66</v>
      </c>
    </row>
    <row r="50" spans="1:38">
      <c r="A50">
        <v>57</v>
      </c>
      <c r="B50" t="s">
        <v>85</v>
      </c>
      <c r="C50" t="s">
        <v>41</v>
      </c>
      <c r="D50" t="s">
        <v>241</v>
      </c>
      <c r="E50" t="s">
        <v>43</v>
      </c>
      <c r="F50" t="s">
        <v>101</v>
      </c>
      <c r="G50" s="2">
        <v>2.8</v>
      </c>
      <c r="H50" s="2">
        <v>15</v>
      </c>
      <c r="I50" t="s">
        <v>47</v>
      </c>
      <c r="J50" t="s">
        <v>243</v>
      </c>
      <c r="K50" t="s">
        <v>49</v>
      </c>
      <c r="L50" t="s">
        <v>103</v>
      </c>
      <c r="M50" s="4" t="s">
        <v>53</v>
      </c>
      <c r="N50" s="4" t="str">
        <f t="shared" si="2"/>
        <v>High</v>
      </c>
      <c r="O50" s="4">
        <f>IF(Table13[[#This Row],[Phone distraction text]]="High",1,0)</f>
        <v>1</v>
      </c>
      <c r="P50" s="2">
        <v>5</v>
      </c>
      <c r="Q50" t="s">
        <v>74</v>
      </c>
      <c r="R50" s="4">
        <f t="shared" si="3"/>
        <v>1</v>
      </c>
      <c r="S50" t="s">
        <v>92</v>
      </c>
      <c r="T50" t="s">
        <v>63</v>
      </c>
      <c r="U50" t="s">
        <v>105</v>
      </c>
      <c r="V50" s="7" t="s">
        <v>425</v>
      </c>
      <c r="W50" s="4" t="s">
        <v>183</v>
      </c>
      <c r="X50" t="s">
        <v>56</v>
      </c>
      <c r="Y50" t="s">
        <v>56</v>
      </c>
      <c r="Z50" t="s">
        <v>151</v>
      </c>
      <c r="AA50" s="2">
        <v>5</v>
      </c>
      <c r="AB50" t="s">
        <v>96</v>
      </c>
      <c r="AC50" t="s">
        <v>61</v>
      </c>
      <c r="AD50" t="s">
        <v>62</v>
      </c>
      <c r="AE50" t="s">
        <v>63</v>
      </c>
      <c r="AF50" t="s">
        <v>61</v>
      </c>
      <c r="AG50" t="s">
        <v>84</v>
      </c>
      <c r="AH50" t="s">
        <v>84</v>
      </c>
      <c r="AI50" t="s">
        <v>64</v>
      </c>
      <c r="AJ50" t="s">
        <v>66</v>
      </c>
      <c r="AK50" t="s">
        <v>84</v>
      </c>
      <c r="AL50" t="s">
        <v>66</v>
      </c>
    </row>
    <row r="51" spans="1:38">
      <c r="A51">
        <v>58</v>
      </c>
      <c r="B51" t="s">
        <v>85</v>
      </c>
      <c r="C51" t="s">
        <v>41</v>
      </c>
      <c r="D51" t="s">
        <v>245</v>
      </c>
      <c r="E51" t="s">
        <v>43</v>
      </c>
      <c r="F51" t="s">
        <v>101</v>
      </c>
      <c r="G51" s="2">
        <v>3.46</v>
      </c>
      <c r="H51" s="2">
        <v>9</v>
      </c>
      <c r="I51" t="s">
        <v>110</v>
      </c>
      <c r="J51" t="s">
        <v>73</v>
      </c>
      <c r="K51" t="s">
        <v>49</v>
      </c>
      <c r="L51" t="s">
        <v>50</v>
      </c>
      <c r="M51" s="4" t="s">
        <v>53</v>
      </c>
      <c r="N51" s="4" t="str">
        <f t="shared" si="2"/>
        <v>High</v>
      </c>
      <c r="O51" s="4">
        <f>IF(Table13[[#This Row],[Phone distraction text]]="High",1,0)</f>
        <v>1</v>
      </c>
      <c r="P51" s="2">
        <v>7</v>
      </c>
      <c r="Q51" t="s">
        <v>74</v>
      </c>
      <c r="R51" s="4">
        <f t="shared" si="3"/>
        <v>1</v>
      </c>
      <c r="S51" t="s">
        <v>92</v>
      </c>
      <c r="T51" t="s">
        <v>53</v>
      </c>
      <c r="U51" t="s">
        <v>105</v>
      </c>
      <c r="V51" s="7" t="s">
        <v>76</v>
      </c>
      <c r="W51" s="4" t="s">
        <v>243</v>
      </c>
      <c r="X51" t="s">
        <v>78</v>
      </c>
      <c r="Y51" t="s">
        <v>56</v>
      </c>
      <c r="Z51" t="s">
        <v>112</v>
      </c>
      <c r="AA51" s="2">
        <v>5</v>
      </c>
      <c r="AB51" t="s">
        <v>113</v>
      </c>
      <c r="AC51" t="s">
        <v>82</v>
      </c>
      <c r="AD51" t="s">
        <v>62</v>
      </c>
      <c r="AE51" t="s">
        <v>53</v>
      </c>
      <c r="AF51" t="s">
        <v>83</v>
      </c>
      <c r="AG51" t="s">
        <v>64</v>
      </c>
      <c r="AH51" t="s">
        <v>64</v>
      </c>
      <c r="AI51" t="s">
        <v>64</v>
      </c>
      <c r="AJ51" t="s">
        <v>64</v>
      </c>
      <c r="AK51" t="s">
        <v>65</v>
      </c>
      <c r="AL51" t="s">
        <v>65</v>
      </c>
    </row>
    <row r="52" spans="1:38">
      <c r="A52">
        <v>59</v>
      </c>
      <c r="B52" t="s">
        <v>85</v>
      </c>
      <c r="C52" t="s">
        <v>41</v>
      </c>
      <c r="D52" t="s">
        <v>246</v>
      </c>
      <c r="E52" t="s">
        <v>68</v>
      </c>
      <c r="F52" t="s">
        <v>198</v>
      </c>
      <c r="G52" s="2">
        <v>3</v>
      </c>
      <c r="H52" s="2">
        <v>18</v>
      </c>
      <c r="I52" t="s">
        <v>72</v>
      </c>
      <c r="J52" t="s">
        <v>90</v>
      </c>
      <c r="K52" t="s">
        <v>49</v>
      </c>
      <c r="L52" t="s">
        <v>50</v>
      </c>
      <c r="M52" s="4" t="s">
        <v>53</v>
      </c>
      <c r="N52" s="4" t="str">
        <f t="shared" si="2"/>
        <v>High</v>
      </c>
      <c r="O52" s="4">
        <f>IF(Table13[[#This Row],[Phone distraction text]]="High",1,0)</f>
        <v>1</v>
      </c>
      <c r="P52" s="2">
        <v>10</v>
      </c>
      <c r="Q52" t="s">
        <v>91</v>
      </c>
      <c r="R52" s="4">
        <f t="shared" si="3"/>
        <v>0</v>
      </c>
      <c r="S52" t="s">
        <v>52</v>
      </c>
      <c r="T52" t="s">
        <v>93</v>
      </c>
      <c r="U52" t="s">
        <v>122</v>
      </c>
      <c r="V52" s="7" t="s">
        <v>196</v>
      </c>
      <c r="W52" s="4" t="s">
        <v>415</v>
      </c>
      <c r="X52" t="s">
        <v>56</v>
      </c>
      <c r="Y52" t="s">
        <v>56</v>
      </c>
      <c r="Z52" t="s">
        <v>95</v>
      </c>
      <c r="AA52" s="2">
        <v>4</v>
      </c>
      <c r="AB52" t="s">
        <v>81</v>
      </c>
      <c r="AC52" t="s">
        <v>82</v>
      </c>
      <c r="AD52" t="s">
        <v>62</v>
      </c>
      <c r="AE52" t="s">
        <v>63</v>
      </c>
      <c r="AF52" t="s">
        <v>61</v>
      </c>
      <c r="AG52" t="s">
        <v>84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</row>
    <row r="53" spans="1:38">
      <c r="A53">
        <v>60</v>
      </c>
      <c r="B53" t="s">
        <v>85</v>
      </c>
      <c r="C53" t="s">
        <v>41</v>
      </c>
      <c r="D53" t="s">
        <v>208</v>
      </c>
      <c r="E53" t="s">
        <v>68</v>
      </c>
      <c r="F53" t="s">
        <v>69</v>
      </c>
      <c r="G53" s="2">
        <v>3.72</v>
      </c>
      <c r="H53" s="2">
        <v>15</v>
      </c>
      <c r="I53" t="s">
        <v>72</v>
      </c>
      <c r="J53" t="s">
        <v>73</v>
      </c>
      <c r="K53" t="s">
        <v>49</v>
      </c>
      <c r="L53" t="s">
        <v>53</v>
      </c>
      <c r="M53" s="4" t="s">
        <v>53</v>
      </c>
      <c r="N53" s="4" t="str">
        <f t="shared" si="2"/>
        <v>High</v>
      </c>
      <c r="O53" s="4">
        <f>IF(Table13[[#This Row],[Phone distraction text]]="High",1,0)</f>
        <v>1</v>
      </c>
      <c r="P53" s="2">
        <v>3</v>
      </c>
      <c r="Q53" t="s">
        <v>91</v>
      </c>
      <c r="R53" s="4">
        <f t="shared" si="3"/>
        <v>0</v>
      </c>
      <c r="S53" t="s">
        <v>121</v>
      </c>
      <c r="T53" t="s">
        <v>93</v>
      </c>
      <c r="U53" t="s">
        <v>105</v>
      </c>
      <c r="V53" s="7" t="s">
        <v>416</v>
      </c>
      <c r="W53" s="4" t="s">
        <v>183</v>
      </c>
      <c r="X53" t="s">
        <v>78</v>
      </c>
      <c r="Y53" t="s">
        <v>78</v>
      </c>
      <c r="Z53" t="s">
        <v>95</v>
      </c>
      <c r="AA53" s="2">
        <v>5</v>
      </c>
      <c r="AB53" t="s">
        <v>113</v>
      </c>
      <c r="AC53" t="s">
        <v>128</v>
      </c>
      <c r="AD53" t="s">
        <v>107</v>
      </c>
      <c r="AE53" t="s">
        <v>50</v>
      </c>
      <c r="AF53" t="s">
        <v>128</v>
      </c>
      <c r="AG53" t="s">
        <v>84</v>
      </c>
      <c r="AH53" t="s">
        <v>84</v>
      </c>
      <c r="AI53" t="s">
        <v>64</v>
      </c>
      <c r="AJ53" t="s">
        <v>84</v>
      </c>
      <c r="AK53" t="s">
        <v>84</v>
      </c>
      <c r="AL53" t="s">
        <v>64</v>
      </c>
    </row>
    <row r="54" spans="1:38">
      <c r="A54">
        <v>61</v>
      </c>
      <c r="B54" t="s">
        <v>85</v>
      </c>
      <c r="C54" t="s">
        <v>41</v>
      </c>
      <c r="D54" t="s">
        <v>210</v>
      </c>
      <c r="E54" t="s">
        <v>68</v>
      </c>
      <c r="F54" t="s">
        <v>101</v>
      </c>
      <c r="G54" s="2">
        <v>3.49</v>
      </c>
      <c r="H54" s="2">
        <v>15</v>
      </c>
      <c r="I54" t="s">
        <v>110</v>
      </c>
      <c r="J54" t="s">
        <v>73</v>
      </c>
      <c r="K54" t="s">
        <v>49</v>
      </c>
      <c r="L54" t="s">
        <v>63</v>
      </c>
      <c r="M54" s="4" t="s">
        <v>50</v>
      </c>
      <c r="N54" s="4" t="str">
        <f t="shared" si="2"/>
        <v>Not high</v>
      </c>
      <c r="O54" s="4">
        <f>IF(Table13[[#This Row],[Phone distraction text]]="High",1,0)</f>
        <v>0</v>
      </c>
      <c r="P54" s="2">
        <v>5</v>
      </c>
      <c r="Q54" t="s">
        <v>104</v>
      </c>
      <c r="R54" s="4">
        <f t="shared" si="3"/>
        <v>0</v>
      </c>
      <c r="S54" t="s">
        <v>75</v>
      </c>
      <c r="T54" t="s">
        <v>50</v>
      </c>
      <c r="U54" t="s">
        <v>116</v>
      </c>
      <c r="V54" s="7" t="s">
        <v>249</v>
      </c>
      <c r="W54" s="4" t="s">
        <v>243</v>
      </c>
      <c r="X54" t="s">
        <v>56</v>
      </c>
      <c r="Y54" t="s">
        <v>56</v>
      </c>
      <c r="Z54" t="s">
        <v>95</v>
      </c>
      <c r="AA54" s="2">
        <v>3</v>
      </c>
      <c r="AB54" t="s">
        <v>81</v>
      </c>
      <c r="AC54" t="s">
        <v>82</v>
      </c>
      <c r="AD54" t="s">
        <v>97</v>
      </c>
      <c r="AE54" t="s">
        <v>53</v>
      </c>
      <c r="AF54" t="s">
        <v>83</v>
      </c>
      <c r="AG54" t="s">
        <v>64</v>
      </c>
      <c r="AH54" t="s">
        <v>64</v>
      </c>
      <c r="AI54" t="s">
        <v>64</v>
      </c>
      <c r="AJ54" t="s">
        <v>64</v>
      </c>
      <c r="AK54" t="s">
        <v>65</v>
      </c>
      <c r="AL54" t="s">
        <v>65</v>
      </c>
    </row>
    <row r="55" spans="1:38">
      <c r="A55">
        <v>62</v>
      </c>
      <c r="B55" t="s">
        <v>40</v>
      </c>
      <c r="C55" t="s">
        <v>41</v>
      </c>
      <c r="D55" t="s">
        <v>250</v>
      </c>
      <c r="E55" t="s">
        <v>68</v>
      </c>
      <c r="F55" t="s">
        <v>69</v>
      </c>
      <c r="G55" s="2">
        <v>3.89</v>
      </c>
      <c r="H55" s="2">
        <v>0</v>
      </c>
      <c r="I55" t="s">
        <v>47</v>
      </c>
      <c r="J55" t="s">
        <v>73</v>
      </c>
      <c r="K55" t="s">
        <v>49</v>
      </c>
      <c r="L55" t="s">
        <v>53</v>
      </c>
      <c r="M55" s="4" t="s">
        <v>50</v>
      </c>
      <c r="N55" s="4" t="str">
        <f t="shared" si="2"/>
        <v>Not high</v>
      </c>
      <c r="O55" s="4">
        <f>IF(Table13[[#This Row],[Phone distraction text]]="High",1,0)</f>
        <v>0</v>
      </c>
      <c r="P55" s="2">
        <v>15</v>
      </c>
      <c r="Q55" t="s">
        <v>91</v>
      </c>
      <c r="R55" s="4">
        <f t="shared" si="3"/>
        <v>0</v>
      </c>
      <c r="S55" t="s">
        <v>92</v>
      </c>
      <c r="T55" t="s">
        <v>50</v>
      </c>
      <c r="U55" t="s">
        <v>116</v>
      </c>
      <c r="V55" s="7" t="s">
        <v>155</v>
      </c>
      <c r="W55" s="4" t="s">
        <v>243</v>
      </c>
      <c r="X55" t="s">
        <v>78</v>
      </c>
      <c r="Y55" t="s">
        <v>57</v>
      </c>
      <c r="Z55" t="s">
        <v>229</v>
      </c>
      <c r="AA55" s="2">
        <v>1</v>
      </c>
      <c r="AB55" t="s">
        <v>113</v>
      </c>
      <c r="AC55" t="s">
        <v>82</v>
      </c>
      <c r="AD55" t="s">
        <v>173</v>
      </c>
      <c r="AE55" t="s">
        <v>53</v>
      </c>
      <c r="AF55" t="s">
        <v>83</v>
      </c>
      <c r="AG55" t="s">
        <v>84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</row>
    <row r="56" spans="1:38">
      <c r="A56">
        <v>63</v>
      </c>
      <c r="B56" t="s">
        <v>124</v>
      </c>
      <c r="C56" t="s">
        <v>41</v>
      </c>
      <c r="D56" t="s">
        <v>253</v>
      </c>
      <c r="E56" t="s">
        <v>68</v>
      </c>
      <c r="F56" t="s">
        <v>69</v>
      </c>
      <c r="G56" s="2">
        <v>3.77</v>
      </c>
      <c r="H56" s="2">
        <v>18</v>
      </c>
      <c r="I56" t="s">
        <v>72</v>
      </c>
      <c r="J56" t="s">
        <v>73</v>
      </c>
      <c r="K56" t="s">
        <v>49</v>
      </c>
      <c r="L56" t="s">
        <v>103</v>
      </c>
      <c r="M56" s="4" t="s">
        <v>53</v>
      </c>
      <c r="N56" s="4" t="str">
        <f t="shared" si="2"/>
        <v>High</v>
      </c>
      <c r="O56" s="4">
        <f>IF(Table13[[#This Row],[Phone distraction text]]="High",1,0)</f>
        <v>1</v>
      </c>
      <c r="P56" s="2">
        <v>4</v>
      </c>
      <c r="Q56" t="s">
        <v>104</v>
      </c>
      <c r="R56" s="4">
        <f t="shared" si="3"/>
        <v>0</v>
      </c>
      <c r="S56" t="s">
        <v>92</v>
      </c>
      <c r="T56" t="s">
        <v>53</v>
      </c>
      <c r="U56" t="s">
        <v>76</v>
      </c>
      <c r="V56" s="7" t="s">
        <v>183</v>
      </c>
      <c r="W56" s="4" t="s">
        <v>183</v>
      </c>
      <c r="X56" t="s">
        <v>56</v>
      </c>
      <c r="Y56" t="s">
        <v>78</v>
      </c>
      <c r="Z56" t="s">
        <v>58</v>
      </c>
      <c r="AA56" s="2">
        <v>3</v>
      </c>
      <c r="AB56" t="s">
        <v>202</v>
      </c>
      <c r="AC56" t="s">
        <v>82</v>
      </c>
      <c r="AD56" t="s">
        <v>118</v>
      </c>
      <c r="AE56" t="s">
        <v>63</v>
      </c>
      <c r="AF56" t="s">
        <v>83</v>
      </c>
      <c r="AG56" t="s">
        <v>84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</row>
    <row r="57" spans="1:38">
      <c r="A57">
        <v>64</v>
      </c>
      <c r="B57" t="s">
        <v>40</v>
      </c>
      <c r="C57" t="s">
        <v>86</v>
      </c>
      <c r="D57" t="s">
        <v>256</v>
      </c>
      <c r="E57" t="s">
        <v>43</v>
      </c>
      <c r="F57" t="s">
        <v>69</v>
      </c>
      <c r="G57" s="2">
        <v>3.8</v>
      </c>
      <c r="H57" s="2">
        <v>10</v>
      </c>
      <c r="I57" t="s">
        <v>110</v>
      </c>
      <c r="J57" t="s">
        <v>73</v>
      </c>
      <c r="K57" t="s">
        <v>49</v>
      </c>
      <c r="L57" t="s">
        <v>103</v>
      </c>
      <c r="M57" s="4" t="s">
        <v>103</v>
      </c>
      <c r="N57" s="4" t="str">
        <f t="shared" si="2"/>
        <v>Not high</v>
      </c>
      <c r="O57" s="4">
        <f>IF(Table13[[#This Row],[Phone distraction text]]="High",1,0)</f>
        <v>0</v>
      </c>
      <c r="P57" s="2">
        <v>2</v>
      </c>
      <c r="Q57" t="s">
        <v>91</v>
      </c>
      <c r="R57" s="4">
        <f t="shared" si="3"/>
        <v>0</v>
      </c>
      <c r="S57" t="s">
        <v>92</v>
      </c>
      <c r="T57" t="s">
        <v>53</v>
      </c>
      <c r="U57" t="s">
        <v>76</v>
      </c>
      <c r="V57" s="7" t="s">
        <v>171</v>
      </c>
      <c r="W57" s="4" t="s">
        <v>171</v>
      </c>
      <c r="X57" t="s">
        <v>78</v>
      </c>
      <c r="Y57" t="s">
        <v>78</v>
      </c>
      <c r="Z57" t="s">
        <v>58</v>
      </c>
      <c r="AA57" s="2">
        <v>4</v>
      </c>
      <c r="AB57" t="s">
        <v>113</v>
      </c>
      <c r="AC57" t="s">
        <v>61</v>
      </c>
      <c r="AD57" t="s">
        <v>118</v>
      </c>
      <c r="AE57" t="s">
        <v>53</v>
      </c>
      <c r="AF57" t="s">
        <v>61</v>
      </c>
      <c r="AG57" t="s">
        <v>84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</row>
    <row r="58" spans="1:38">
      <c r="A58">
        <v>65</v>
      </c>
      <c r="B58" t="s">
        <v>124</v>
      </c>
      <c r="C58" t="s">
        <v>41</v>
      </c>
      <c r="D58" t="s">
        <v>259</v>
      </c>
      <c r="E58" t="s">
        <v>43</v>
      </c>
      <c r="F58" t="s">
        <v>69</v>
      </c>
      <c r="G58" s="2">
        <v>3.8</v>
      </c>
      <c r="H58" s="2">
        <v>18</v>
      </c>
      <c r="I58" t="s">
        <v>110</v>
      </c>
      <c r="J58" t="s">
        <v>135</v>
      </c>
      <c r="K58" t="s">
        <v>49</v>
      </c>
      <c r="L58" t="s">
        <v>93</v>
      </c>
      <c r="M58" s="4" t="s">
        <v>50</v>
      </c>
      <c r="N58" s="4" t="str">
        <f t="shared" si="2"/>
        <v>Not high</v>
      </c>
      <c r="O58" s="4">
        <f>IF(Table13[[#This Row],[Phone distraction text]]="High",1,0)</f>
        <v>0</v>
      </c>
      <c r="P58" s="2">
        <v>14</v>
      </c>
      <c r="Q58" t="s">
        <v>74</v>
      </c>
      <c r="R58" s="4">
        <f t="shared" si="3"/>
        <v>1</v>
      </c>
      <c r="S58" t="s">
        <v>92</v>
      </c>
      <c r="T58" t="s">
        <v>53</v>
      </c>
      <c r="U58" t="s">
        <v>54</v>
      </c>
      <c r="V58" s="7" t="s">
        <v>260</v>
      </c>
      <c r="W58" s="4" t="s">
        <v>243</v>
      </c>
      <c r="X58" t="s">
        <v>56</v>
      </c>
      <c r="Y58" t="s">
        <v>56</v>
      </c>
      <c r="Z58" t="s">
        <v>58</v>
      </c>
      <c r="AA58" s="2">
        <v>4</v>
      </c>
      <c r="AB58" t="s">
        <v>113</v>
      </c>
      <c r="AC58" t="s">
        <v>82</v>
      </c>
      <c r="AD58" t="s">
        <v>118</v>
      </c>
      <c r="AE58" t="s">
        <v>53</v>
      </c>
      <c r="AF58" t="s">
        <v>83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64</v>
      </c>
    </row>
    <row r="59" spans="1:38">
      <c r="A59">
        <v>66</v>
      </c>
      <c r="B59" t="s">
        <v>85</v>
      </c>
      <c r="C59" t="s">
        <v>41</v>
      </c>
      <c r="D59" t="s">
        <v>140</v>
      </c>
      <c r="E59" t="s">
        <v>43</v>
      </c>
      <c r="F59" t="s">
        <v>198</v>
      </c>
      <c r="G59" s="2">
        <v>3.5</v>
      </c>
      <c r="H59" s="2">
        <v>15</v>
      </c>
      <c r="I59" t="s">
        <v>110</v>
      </c>
      <c r="J59" t="s">
        <v>73</v>
      </c>
      <c r="K59" t="s">
        <v>49</v>
      </c>
      <c r="L59" t="s">
        <v>53</v>
      </c>
      <c r="M59" s="4" t="s">
        <v>50</v>
      </c>
      <c r="N59" s="4" t="str">
        <f t="shared" si="2"/>
        <v>Not high</v>
      </c>
      <c r="O59" s="4">
        <f>IF(Table13[[#This Row],[Phone distraction text]]="High",1,0)</f>
        <v>0</v>
      </c>
      <c r="P59" s="2">
        <v>5</v>
      </c>
      <c r="Q59" t="s">
        <v>104</v>
      </c>
      <c r="R59" s="4">
        <f t="shared" si="3"/>
        <v>0</v>
      </c>
      <c r="S59" t="s">
        <v>75</v>
      </c>
      <c r="T59" t="s">
        <v>50</v>
      </c>
      <c r="U59" t="s">
        <v>105</v>
      </c>
      <c r="V59" s="7" t="s">
        <v>111</v>
      </c>
      <c r="W59" s="4" t="s">
        <v>111</v>
      </c>
      <c r="X59" t="s">
        <v>57</v>
      </c>
      <c r="Y59" t="s">
        <v>56</v>
      </c>
      <c r="Z59" t="s">
        <v>58</v>
      </c>
      <c r="AA59" s="2">
        <v>1</v>
      </c>
      <c r="AB59" t="s">
        <v>60</v>
      </c>
      <c r="AC59" t="s">
        <v>61</v>
      </c>
      <c r="AD59" t="s">
        <v>62</v>
      </c>
      <c r="AE59" t="s">
        <v>53</v>
      </c>
      <c r="AF59" t="s">
        <v>61</v>
      </c>
      <c r="AG59" t="s">
        <v>66</v>
      </c>
      <c r="AH59" t="s">
        <v>193</v>
      </c>
      <c r="AI59" t="s">
        <v>193</v>
      </c>
      <c r="AJ59" t="s">
        <v>193</v>
      </c>
      <c r="AK59" t="s">
        <v>193</v>
      </c>
      <c r="AL59" t="s">
        <v>193</v>
      </c>
    </row>
    <row r="60" spans="1:38">
      <c r="A60">
        <v>67</v>
      </c>
      <c r="B60" t="s">
        <v>85</v>
      </c>
      <c r="C60" t="s">
        <v>41</v>
      </c>
      <c r="D60" t="s">
        <v>125</v>
      </c>
      <c r="E60" t="s">
        <v>68</v>
      </c>
      <c r="F60" t="s">
        <v>101</v>
      </c>
      <c r="G60" s="2">
        <v>3.54</v>
      </c>
      <c r="H60" s="2">
        <v>15</v>
      </c>
      <c r="I60" t="s">
        <v>72</v>
      </c>
      <c r="J60" t="s">
        <v>73</v>
      </c>
      <c r="K60" t="s">
        <v>49</v>
      </c>
      <c r="L60" t="s">
        <v>63</v>
      </c>
      <c r="M60" s="4" t="s">
        <v>50</v>
      </c>
      <c r="N60" s="4" t="str">
        <f t="shared" si="2"/>
        <v>Not high</v>
      </c>
      <c r="O60" s="4">
        <f>IF(Table13[[#This Row],[Phone distraction text]]="High",1,0)</f>
        <v>0</v>
      </c>
      <c r="P60" s="2">
        <v>5</v>
      </c>
      <c r="Q60" t="s">
        <v>91</v>
      </c>
      <c r="R60" s="4">
        <f t="shared" si="3"/>
        <v>0</v>
      </c>
      <c r="S60" t="s">
        <v>92</v>
      </c>
      <c r="T60" t="s">
        <v>63</v>
      </c>
      <c r="U60" t="s">
        <v>116</v>
      </c>
      <c r="V60" s="7" t="s">
        <v>263</v>
      </c>
      <c r="W60" s="4" t="s">
        <v>111</v>
      </c>
      <c r="X60" t="s">
        <v>56</v>
      </c>
      <c r="Y60" t="s">
        <v>78</v>
      </c>
      <c r="Z60" t="s">
        <v>95</v>
      </c>
      <c r="AA60" s="2">
        <v>5</v>
      </c>
      <c r="AB60" t="s">
        <v>60</v>
      </c>
      <c r="AC60" t="s">
        <v>82</v>
      </c>
      <c r="AD60" t="s">
        <v>62</v>
      </c>
      <c r="AE60" t="s">
        <v>50</v>
      </c>
      <c r="AF60" t="s">
        <v>83</v>
      </c>
      <c r="AG60" t="s">
        <v>64</v>
      </c>
      <c r="AH60" t="s">
        <v>84</v>
      </c>
      <c r="AI60" t="s">
        <v>65</v>
      </c>
      <c r="AJ60" t="s">
        <v>64</v>
      </c>
      <c r="AK60" t="s">
        <v>84</v>
      </c>
      <c r="AL60" t="s">
        <v>65</v>
      </c>
    </row>
    <row r="61" spans="1:38">
      <c r="A61">
        <v>68</v>
      </c>
      <c r="B61" t="s">
        <v>40</v>
      </c>
      <c r="C61" t="s">
        <v>86</v>
      </c>
      <c r="D61" t="s">
        <v>264</v>
      </c>
      <c r="E61" t="s">
        <v>68</v>
      </c>
      <c r="F61" t="s">
        <v>69</v>
      </c>
      <c r="G61" s="2">
        <v>3.91</v>
      </c>
      <c r="H61" s="2">
        <v>18</v>
      </c>
      <c r="I61" t="s">
        <v>89</v>
      </c>
      <c r="J61" t="s">
        <v>135</v>
      </c>
      <c r="K61" t="s">
        <v>167</v>
      </c>
      <c r="L61" t="s">
        <v>53</v>
      </c>
      <c r="M61" s="4" t="s">
        <v>50</v>
      </c>
      <c r="N61" s="4" t="str">
        <f t="shared" si="2"/>
        <v>Not high</v>
      </c>
      <c r="O61" s="4">
        <f>IF(Table13[[#This Row],[Phone distraction text]]="High",1,0)</f>
        <v>0</v>
      </c>
      <c r="P61" s="2">
        <v>7</v>
      </c>
      <c r="Q61" t="s">
        <v>74</v>
      </c>
      <c r="R61" s="4">
        <f t="shared" si="3"/>
        <v>1</v>
      </c>
      <c r="S61" t="s">
        <v>52</v>
      </c>
      <c r="T61" t="s">
        <v>63</v>
      </c>
      <c r="U61" t="s">
        <v>54</v>
      </c>
      <c r="V61" s="7" t="s">
        <v>266</v>
      </c>
      <c r="W61" s="4" t="s">
        <v>183</v>
      </c>
      <c r="X61" t="s">
        <v>78</v>
      </c>
      <c r="Y61" t="s">
        <v>56</v>
      </c>
      <c r="Z61" t="s">
        <v>229</v>
      </c>
      <c r="AA61" s="2">
        <v>5</v>
      </c>
      <c r="AB61" t="s">
        <v>96</v>
      </c>
      <c r="AC61" t="s">
        <v>61</v>
      </c>
      <c r="AD61" t="s">
        <v>118</v>
      </c>
      <c r="AE61" t="s">
        <v>63</v>
      </c>
      <c r="AF61" t="s">
        <v>61</v>
      </c>
      <c r="AG61" t="s">
        <v>65</v>
      </c>
      <c r="AH61" t="s">
        <v>64</v>
      </c>
      <c r="AI61" t="s">
        <v>65</v>
      </c>
      <c r="AJ61" t="s">
        <v>64</v>
      </c>
      <c r="AK61" t="s">
        <v>64</v>
      </c>
      <c r="AL61" t="s">
        <v>64</v>
      </c>
    </row>
    <row r="62" spans="1:38">
      <c r="A62">
        <v>69</v>
      </c>
      <c r="B62" s="4" t="s">
        <v>85</v>
      </c>
      <c r="C62" s="4" t="s">
        <v>41</v>
      </c>
      <c r="D62" s="4" t="s">
        <v>208</v>
      </c>
      <c r="E62" s="4" t="s">
        <v>68</v>
      </c>
      <c r="F62" s="4" t="s">
        <v>69</v>
      </c>
      <c r="G62" s="6">
        <v>3.76</v>
      </c>
      <c r="H62" s="6">
        <v>15</v>
      </c>
      <c r="I62" s="4" t="s">
        <v>72</v>
      </c>
      <c r="J62" s="4" t="s">
        <v>73</v>
      </c>
      <c r="K62" s="4" t="s">
        <v>167</v>
      </c>
      <c r="L62" s="4" t="s">
        <v>50</v>
      </c>
      <c r="M62" s="4" t="s">
        <v>53</v>
      </c>
      <c r="N62" s="4" t="str">
        <f t="shared" ref="N62:N91" si="4">IF(OR(M62="Often",M62="Always"),"High","Not high")</f>
        <v>High</v>
      </c>
      <c r="O62" s="4">
        <f>IF(Table13[[#This Row],[Phone distraction text]]="High",1,0)</f>
        <v>1</v>
      </c>
      <c r="P62" s="6">
        <v>5</v>
      </c>
      <c r="Q62" s="4" t="s">
        <v>74</v>
      </c>
      <c r="R62" s="4">
        <f t="shared" ref="R62:R91" si="5">IF(OR(Q62="Less than 5",Q62="5-6",Q62="6-7"),1,0)</f>
        <v>1</v>
      </c>
      <c r="S62" s="4" t="s">
        <v>92</v>
      </c>
      <c r="T62" s="4" t="s">
        <v>103</v>
      </c>
      <c r="U62" s="4" t="s">
        <v>122</v>
      </c>
      <c r="V62" s="4" t="s">
        <v>176</v>
      </c>
      <c r="X62" s="4" t="s">
        <v>56</v>
      </c>
      <c r="Y62" s="4" t="s">
        <v>56</v>
      </c>
      <c r="Z62" s="4" t="s">
        <v>151</v>
      </c>
      <c r="AA62" s="6">
        <v>4</v>
      </c>
      <c r="AB62" s="4" t="s">
        <v>113</v>
      </c>
      <c r="AC62" s="4" t="s">
        <v>128</v>
      </c>
      <c r="AD62" s="4" t="s">
        <v>97</v>
      </c>
      <c r="AE62" s="4" t="s">
        <v>63</v>
      </c>
      <c r="AF62" s="4" t="s">
        <v>83</v>
      </c>
      <c r="AG62" s="4" t="s">
        <v>84</v>
      </c>
      <c r="AH62" s="4" t="s">
        <v>84</v>
      </c>
      <c r="AI62" s="4" t="s">
        <v>64</v>
      </c>
      <c r="AJ62" s="4" t="s">
        <v>84</v>
      </c>
      <c r="AK62" s="4" t="s">
        <v>84</v>
      </c>
      <c r="AL62" s="4" t="s">
        <v>64</v>
      </c>
    </row>
    <row r="63" spans="1:38">
      <c r="A63">
        <v>70</v>
      </c>
      <c r="B63" t="s">
        <v>98</v>
      </c>
      <c r="C63" t="s">
        <v>41</v>
      </c>
      <c r="D63" t="s">
        <v>268</v>
      </c>
      <c r="E63" t="s">
        <v>68</v>
      </c>
      <c r="F63" t="s">
        <v>101</v>
      </c>
      <c r="G63" s="2">
        <v>3.72</v>
      </c>
      <c r="H63" s="2">
        <v>15</v>
      </c>
      <c r="I63" t="s">
        <v>110</v>
      </c>
      <c r="J63" t="s">
        <v>73</v>
      </c>
      <c r="K63" t="s">
        <v>49</v>
      </c>
      <c r="L63" t="s">
        <v>50</v>
      </c>
      <c r="M63" t="s">
        <v>53</v>
      </c>
      <c r="N63" s="4" t="str">
        <f t="shared" si="4"/>
        <v>High</v>
      </c>
      <c r="O63" s="4">
        <f>IF(Table13[[#This Row],[Phone distraction text]]="High",1,0)</f>
        <v>1</v>
      </c>
      <c r="P63" s="2">
        <v>2</v>
      </c>
      <c r="Q63" t="s">
        <v>51</v>
      </c>
      <c r="R63" s="4">
        <f t="shared" si="5"/>
        <v>1</v>
      </c>
      <c r="S63" t="s">
        <v>75</v>
      </c>
      <c r="T63" t="s">
        <v>50</v>
      </c>
      <c r="U63" t="s">
        <v>105</v>
      </c>
      <c r="V63" t="s">
        <v>183</v>
      </c>
      <c r="X63" t="s">
        <v>57</v>
      </c>
      <c r="Y63" t="s">
        <v>56</v>
      </c>
      <c r="Z63" t="s">
        <v>58</v>
      </c>
      <c r="AA63" s="2">
        <v>4</v>
      </c>
      <c r="AB63" t="s">
        <v>113</v>
      </c>
      <c r="AC63" t="s">
        <v>128</v>
      </c>
      <c r="AD63" t="s">
        <v>165</v>
      </c>
      <c r="AE63" t="s">
        <v>50</v>
      </c>
      <c r="AF63" t="s">
        <v>83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64</v>
      </c>
    </row>
    <row r="64" spans="1:38">
      <c r="A64">
        <v>71</v>
      </c>
      <c r="B64" t="s">
        <v>98</v>
      </c>
      <c r="C64" t="s">
        <v>86</v>
      </c>
      <c r="D64" t="s">
        <v>269</v>
      </c>
      <c r="E64" t="s">
        <v>43</v>
      </c>
      <c r="F64" t="s">
        <v>101</v>
      </c>
      <c r="G64" s="2">
        <v>3.8</v>
      </c>
      <c r="H64" s="2">
        <v>12</v>
      </c>
      <c r="I64" t="s">
        <v>47</v>
      </c>
      <c r="J64" t="s">
        <v>135</v>
      </c>
      <c r="K64" t="s">
        <v>49</v>
      </c>
      <c r="L64" t="s">
        <v>53</v>
      </c>
      <c r="M64" t="s">
        <v>53</v>
      </c>
      <c r="N64" s="4" t="str">
        <f t="shared" si="4"/>
        <v>High</v>
      </c>
      <c r="O64" s="4">
        <f>IF(Table13[[#This Row],[Phone distraction text]]="High",1,0)</f>
        <v>1</v>
      </c>
      <c r="P64" s="2">
        <v>10</v>
      </c>
      <c r="Q64" t="s">
        <v>91</v>
      </c>
      <c r="R64" s="4">
        <f t="shared" si="5"/>
        <v>0</v>
      </c>
      <c r="S64" t="s">
        <v>121</v>
      </c>
      <c r="T64" t="s">
        <v>50</v>
      </c>
      <c r="U64" t="s">
        <v>54</v>
      </c>
      <c r="V64" t="s">
        <v>183</v>
      </c>
      <c r="X64" t="s">
        <v>56</v>
      </c>
      <c r="Y64" t="s">
        <v>78</v>
      </c>
      <c r="Z64" t="s">
        <v>151</v>
      </c>
      <c r="AA64" s="2">
        <v>4</v>
      </c>
      <c r="AB64" t="s">
        <v>113</v>
      </c>
      <c r="AC64" t="s">
        <v>82</v>
      </c>
      <c r="AD64" t="s">
        <v>173</v>
      </c>
      <c r="AE64" t="s">
        <v>50</v>
      </c>
      <c r="AF64" t="s">
        <v>61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65</v>
      </c>
    </row>
    <row r="65" spans="1:38">
      <c r="A65">
        <v>72</v>
      </c>
      <c r="B65" t="s">
        <v>124</v>
      </c>
      <c r="C65" t="s">
        <v>41</v>
      </c>
      <c r="D65" t="s">
        <v>125</v>
      </c>
      <c r="E65" t="s">
        <v>43</v>
      </c>
      <c r="F65" t="s">
        <v>101</v>
      </c>
      <c r="G65" s="2">
        <v>3.5</v>
      </c>
      <c r="H65" s="2">
        <v>15</v>
      </c>
      <c r="I65" t="s">
        <v>89</v>
      </c>
      <c r="J65" t="s">
        <v>135</v>
      </c>
      <c r="K65" t="s">
        <v>49</v>
      </c>
      <c r="L65" t="s">
        <v>63</v>
      </c>
      <c r="M65" t="s">
        <v>53</v>
      </c>
      <c r="N65" s="4" t="str">
        <f t="shared" si="4"/>
        <v>High</v>
      </c>
      <c r="O65" s="4">
        <f>IF(Table13[[#This Row],[Phone distraction text]]="High",1,0)</f>
        <v>1</v>
      </c>
      <c r="P65" s="2">
        <v>10</v>
      </c>
      <c r="Q65" t="s">
        <v>91</v>
      </c>
      <c r="R65" s="4">
        <f t="shared" si="5"/>
        <v>0</v>
      </c>
      <c r="S65" t="s">
        <v>92</v>
      </c>
      <c r="T65" t="s">
        <v>63</v>
      </c>
      <c r="U65" t="s">
        <v>122</v>
      </c>
      <c r="V65" t="s">
        <v>196</v>
      </c>
      <c r="X65" t="s">
        <v>56</v>
      </c>
      <c r="Y65" t="s">
        <v>78</v>
      </c>
      <c r="Z65" t="s">
        <v>95</v>
      </c>
      <c r="AA65" s="2">
        <v>5</v>
      </c>
      <c r="AB65" t="s">
        <v>113</v>
      </c>
      <c r="AC65" t="s">
        <v>128</v>
      </c>
      <c r="AD65" t="s">
        <v>270</v>
      </c>
      <c r="AE65" t="s">
        <v>53</v>
      </c>
      <c r="AF65" t="s">
        <v>128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</row>
    <row r="66" spans="1:38">
      <c r="A66">
        <v>73</v>
      </c>
      <c r="B66" t="s">
        <v>98</v>
      </c>
      <c r="C66" t="s">
        <v>86</v>
      </c>
      <c r="D66" t="s">
        <v>179</v>
      </c>
      <c r="E66" t="s">
        <v>68</v>
      </c>
      <c r="F66" t="s">
        <v>44</v>
      </c>
      <c r="G66" s="2">
        <v>3.7</v>
      </c>
      <c r="H66" s="2">
        <v>17</v>
      </c>
      <c r="I66" t="s">
        <v>89</v>
      </c>
      <c r="J66" t="s">
        <v>90</v>
      </c>
      <c r="K66" t="s">
        <v>49</v>
      </c>
      <c r="L66" t="s">
        <v>63</v>
      </c>
      <c r="M66" t="s">
        <v>50</v>
      </c>
      <c r="N66" s="4" t="str">
        <f t="shared" si="4"/>
        <v>Not high</v>
      </c>
      <c r="O66" s="4">
        <f>IF(Table13[[#This Row],[Phone distraction text]]="High",1,0)</f>
        <v>0</v>
      </c>
      <c r="P66" s="2">
        <v>4</v>
      </c>
      <c r="Q66" t="s">
        <v>74</v>
      </c>
      <c r="R66" s="4">
        <f t="shared" si="5"/>
        <v>1</v>
      </c>
      <c r="S66" t="s">
        <v>75</v>
      </c>
      <c r="T66" t="s">
        <v>63</v>
      </c>
      <c r="U66" t="s">
        <v>54</v>
      </c>
      <c r="V66" t="s">
        <v>426</v>
      </c>
      <c r="X66" t="s">
        <v>56</v>
      </c>
      <c r="Y66" t="s">
        <v>78</v>
      </c>
      <c r="Z66" t="s">
        <v>95</v>
      </c>
      <c r="AA66" s="2">
        <v>1</v>
      </c>
      <c r="AB66" t="s">
        <v>113</v>
      </c>
      <c r="AC66" t="s">
        <v>82</v>
      </c>
      <c r="AD66" t="s">
        <v>173</v>
      </c>
      <c r="AE66" t="s">
        <v>53</v>
      </c>
      <c r="AF66" t="s">
        <v>83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</row>
    <row r="67" spans="1:38">
      <c r="A67">
        <v>74</v>
      </c>
      <c r="B67" t="s">
        <v>272</v>
      </c>
      <c r="C67" t="s">
        <v>86</v>
      </c>
      <c r="D67" t="s">
        <v>273</v>
      </c>
      <c r="E67" t="s">
        <v>68</v>
      </c>
      <c r="F67" t="s">
        <v>101</v>
      </c>
      <c r="G67" s="2">
        <v>3.94</v>
      </c>
      <c r="H67" s="2">
        <v>15</v>
      </c>
      <c r="I67" t="s">
        <v>72</v>
      </c>
      <c r="J67" t="s">
        <v>73</v>
      </c>
      <c r="K67" t="s">
        <v>148</v>
      </c>
      <c r="L67" t="s">
        <v>50</v>
      </c>
      <c r="M67" t="s">
        <v>53</v>
      </c>
      <c r="N67" s="4" t="str">
        <f t="shared" si="4"/>
        <v>High</v>
      </c>
      <c r="O67" s="4">
        <f>IF(Table13[[#This Row],[Phone distraction text]]="High",1,0)</f>
        <v>1</v>
      </c>
      <c r="P67" s="2">
        <v>14</v>
      </c>
      <c r="Q67" t="s">
        <v>154</v>
      </c>
      <c r="R67" s="4">
        <f t="shared" si="5"/>
        <v>1</v>
      </c>
      <c r="S67" t="s">
        <v>75</v>
      </c>
      <c r="T67" t="s">
        <v>53</v>
      </c>
      <c r="U67" t="s">
        <v>105</v>
      </c>
      <c r="V67" t="s">
        <v>427</v>
      </c>
      <c r="X67" t="s">
        <v>57</v>
      </c>
      <c r="Y67" t="s">
        <v>56</v>
      </c>
      <c r="Z67" t="s">
        <v>95</v>
      </c>
      <c r="AA67" s="2">
        <v>5</v>
      </c>
      <c r="AB67" t="s">
        <v>113</v>
      </c>
      <c r="AC67" t="s">
        <v>82</v>
      </c>
      <c r="AD67" t="s">
        <v>275</v>
      </c>
      <c r="AE67" t="s">
        <v>53</v>
      </c>
      <c r="AF67" t="s">
        <v>61</v>
      </c>
      <c r="AG67" t="s">
        <v>64</v>
      </c>
      <c r="AH67" t="s">
        <v>65</v>
      </c>
      <c r="AI67" t="s">
        <v>64</v>
      </c>
      <c r="AJ67" t="s">
        <v>65</v>
      </c>
      <c r="AK67" t="s">
        <v>66</v>
      </c>
      <c r="AL67" t="s">
        <v>64</v>
      </c>
    </row>
    <row r="68" spans="1:38">
      <c r="A68">
        <v>75</v>
      </c>
      <c r="B68" t="s">
        <v>98</v>
      </c>
      <c r="C68" t="s">
        <v>86</v>
      </c>
      <c r="D68" t="s">
        <v>276</v>
      </c>
      <c r="E68" t="s">
        <v>43</v>
      </c>
      <c r="F68" t="s">
        <v>69</v>
      </c>
      <c r="G68" s="2">
        <v>3.14</v>
      </c>
      <c r="H68" s="2">
        <v>12</v>
      </c>
      <c r="I68" t="s">
        <v>72</v>
      </c>
      <c r="J68" t="s">
        <v>48</v>
      </c>
      <c r="K68" t="s">
        <v>49</v>
      </c>
      <c r="L68" t="s">
        <v>63</v>
      </c>
      <c r="M68" t="s">
        <v>53</v>
      </c>
      <c r="N68" s="4" t="str">
        <f t="shared" si="4"/>
        <v>High</v>
      </c>
      <c r="O68" s="4">
        <f>IF(Table13[[#This Row],[Phone distraction text]]="High",1,0)</f>
        <v>1</v>
      </c>
      <c r="P68" s="2">
        <v>5</v>
      </c>
      <c r="Q68" t="s">
        <v>74</v>
      </c>
      <c r="R68" s="4">
        <f t="shared" si="5"/>
        <v>1</v>
      </c>
      <c r="S68" t="s">
        <v>121</v>
      </c>
      <c r="T68" t="s">
        <v>63</v>
      </c>
      <c r="U68" t="s">
        <v>105</v>
      </c>
      <c r="V68" t="s">
        <v>317</v>
      </c>
      <c r="X68" t="s">
        <v>56</v>
      </c>
      <c r="Y68" t="s">
        <v>56</v>
      </c>
      <c r="Z68" t="s">
        <v>151</v>
      </c>
      <c r="AA68" s="2">
        <v>2</v>
      </c>
      <c r="AB68" t="s">
        <v>113</v>
      </c>
      <c r="AC68" t="s">
        <v>128</v>
      </c>
      <c r="AD68" t="s">
        <v>62</v>
      </c>
      <c r="AE68" t="s">
        <v>63</v>
      </c>
      <c r="AF68" t="s">
        <v>279</v>
      </c>
      <c r="AG68" t="s">
        <v>64</v>
      </c>
      <c r="AH68" t="s">
        <v>65</v>
      </c>
      <c r="AI68" t="s">
        <v>64</v>
      </c>
      <c r="AJ68" t="s">
        <v>64</v>
      </c>
      <c r="AK68" t="s">
        <v>65</v>
      </c>
      <c r="AL68" t="s">
        <v>66</v>
      </c>
    </row>
    <row r="69" spans="1:38">
      <c r="A69">
        <v>76</v>
      </c>
      <c r="B69" t="s">
        <v>98</v>
      </c>
      <c r="C69" t="s">
        <v>86</v>
      </c>
      <c r="D69" t="s">
        <v>276</v>
      </c>
      <c r="E69" t="s">
        <v>68</v>
      </c>
      <c r="F69" t="s">
        <v>101</v>
      </c>
      <c r="G69" s="2">
        <v>3.5</v>
      </c>
      <c r="H69" s="2">
        <v>15</v>
      </c>
      <c r="I69" t="s">
        <v>47</v>
      </c>
      <c r="J69" t="s">
        <v>135</v>
      </c>
      <c r="K69" t="s">
        <v>148</v>
      </c>
      <c r="L69" t="s">
        <v>53</v>
      </c>
      <c r="M69" t="s">
        <v>50</v>
      </c>
      <c r="N69" s="4" t="str">
        <f t="shared" si="4"/>
        <v>Not high</v>
      </c>
      <c r="O69" s="4">
        <f>IF(Table13[[#This Row],[Phone distraction text]]="High",1,0)</f>
        <v>0</v>
      </c>
      <c r="P69" s="2">
        <v>3</v>
      </c>
      <c r="Q69" t="s">
        <v>74</v>
      </c>
      <c r="R69" s="4">
        <f t="shared" si="5"/>
        <v>1</v>
      </c>
      <c r="S69" t="s">
        <v>75</v>
      </c>
      <c r="T69" t="s">
        <v>63</v>
      </c>
      <c r="U69" t="s">
        <v>54</v>
      </c>
      <c r="V69" t="s">
        <v>183</v>
      </c>
      <c r="X69" t="s">
        <v>78</v>
      </c>
      <c r="Y69" t="s">
        <v>56</v>
      </c>
      <c r="Z69" t="s">
        <v>112</v>
      </c>
      <c r="AA69" s="2">
        <v>3</v>
      </c>
      <c r="AB69" t="s">
        <v>113</v>
      </c>
      <c r="AC69" t="s">
        <v>128</v>
      </c>
      <c r="AD69" t="s">
        <v>280</v>
      </c>
      <c r="AE69" t="s">
        <v>53</v>
      </c>
      <c r="AF69" t="s">
        <v>83</v>
      </c>
      <c r="AG69" t="s">
        <v>64</v>
      </c>
      <c r="AH69" t="s">
        <v>84</v>
      </c>
      <c r="AI69" t="s">
        <v>64</v>
      </c>
      <c r="AJ69" t="s">
        <v>64</v>
      </c>
      <c r="AK69" t="s">
        <v>64</v>
      </c>
      <c r="AL69" t="s">
        <v>64</v>
      </c>
    </row>
    <row r="70" spans="1:38">
      <c r="A70">
        <v>77</v>
      </c>
      <c r="B70" t="s">
        <v>98</v>
      </c>
      <c r="C70" t="s">
        <v>86</v>
      </c>
      <c r="D70" t="s">
        <v>281</v>
      </c>
      <c r="E70" t="s">
        <v>68</v>
      </c>
      <c r="F70" t="s">
        <v>69</v>
      </c>
      <c r="G70" s="2">
        <v>3.66</v>
      </c>
      <c r="H70" s="2">
        <v>15</v>
      </c>
      <c r="I70" t="s">
        <v>72</v>
      </c>
      <c r="J70" t="s">
        <v>135</v>
      </c>
      <c r="K70" t="s">
        <v>148</v>
      </c>
      <c r="L70" t="s">
        <v>50</v>
      </c>
      <c r="M70" t="s">
        <v>53</v>
      </c>
      <c r="N70" s="4" t="str">
        <f t="shared" si="4"/>
        <v>High</v>
      </c>
      <c r="O70" s="4">
        <f>IF(Table13[[#This Row],[Phone distraction text]]="High",1,0)</f>
        <v>1</v>
      </c>
      <c r="P70" s="2">
        <v>3</v>
      </c>
      <c r="Q70" t="s">
        <v>74</v>
      </c>
      <c r="R70" s="4">
        <f t="shared" si="5"/>
        <v>1</v>
      </c>
      <c r="S70" t="s">
        <v>75</v>
      </c>
      <c r="T70" t="s">
        <v>93</v>
      </c>
      <c r="U70" t="s">
        <v>76</v>
      </c>
      <c r="V70" t="s">
        <v>111</v>
      </c>
      <c r="X70" t="s">
        <v>78</v>
      </c>
      <c r="Y70" t="s">
        <v>56</v>
      </c>
      <c r="Z70" t="s">
        <v>95</v>
      </c>
      <c r="AA70" s="2">
        <v>3</v>
      </c>
      <c r="AB70" t="s">
        <v>113</v>
      </c>
      <c r="AC70" t="s">
        <v>128</v>
      </c>
      <c r="AD70" t="s">
        <v>173</v>
      </c>
      <c r="AE70" t="s">
        <v>63</v>
      </c>
      <c r="AF70" t="s">
        <v>128</v>
      </c>
      <c r="AG70" t="s">
        <v>84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</row>
    <row r="71" spans="1:38">
      <c r="A71">
        <v>78</v>
      </c>
      <c r="B71" t="s">
        <v>85</v>
      </c>
      <c r="C71" t="s">
        <v>41</v>
      </c>
      <c r="D71" t="s">
        <v>283</v>
      </c>
      <c r="E71" t="s">
        <v>43</v>
      </c>
      <c r="F71" t="s">
        <v>101</v>
      </c>
      <c r="G71" s="2">
        <v>3.59</v>
      </c>
      <c r="H71" s="2">
        <v>12</v>
      </c>
      <c r="I71" t="s">
        <v>72</v>
      </c>
      <c r="J71" t="s">
        <v>73</v>
      </c>
      <c r="K71" t="s">
        <v>49</v>
      </c>
      <c r="L71" t="s">
        <v>53</v>
      </c>
      <c r="M71" t="s">
        <v>53</v>
      </c>
      <c r="N71" s="4" t="str">
        <f t="shared" si="4"/>
        <v>High</v>
      </c>
      <c r="O71" s="4">
        <f>IF(Table13[[#This Row],[Phone distraction text]]="High",1,0)</f>
        <v>1</v>
      </c>
      <c r="P71" s="2">
        <v>3</v>
      </c>
      <c r="Q71" t="s">
        <v>91</v>
      </c>
      <c r="R71" s="4">
        <f t="shared" si="5"/>
        <v>0</v>
      </c>
      <c r="S71" t="s">
        <v>92</v>
      </c>
      <c r="T71" t="s">
        <v>103</v>
      </c>
      <c r="U71" t="s">
        <v>105</v>
      </c>
      <c r="V71" t="s">
        <v>183</v>
      </c>
      <c r="X71" t="s">
        <v>78</v>
      </c>
      <c r="Y71" t="s">
        <v>78</v>
      </c>
      <c r="Z71" t="s">
        <v>112</v>
      </c>
      <c r="AA71" s="2">
        <v>5</v>
      </c>
      <c r="AB71" t="s">
        <v>113</v>
      </c>
      <c r="AC71" t="s">
        <v>82</v>
      </c>
      <c r="AD71" t="s">
        <v>62</v>
      </c>
      <c r="AE71" t="s">
        <v>50</v>
      </c>
      <c r="AF71" t="s">
        <v>83</v>
      </c>
      <c r="AG71" t="s">
        <v>64</v>
      </c>
      <c r="AH71" t="s">
        <v>84</v>
      </c>
      <c r="AI71" t="s">
        <v>64</v>
      </c>
      <c r="AJ71" t="s">
        <v>64</v>
      </c>
      <c r="AK71" t="s">
        <v>64</v>
      </c>
      <c r="AL71" t="s">
        <v>64</v>
      </c>
    </row>
    <row r="72" spans="1:38">
      <c r="A72">
        <v>79</v>
      </c>
      <c r="B72" t="s">
        <v>98</v>
      </c>
      <c r="C72" t="s">
        <v>41</v>
      </c>
      <c r="D72" t="s">
        <v>285</v>
      </c>
      <c r="E72" t="s">
        <v>68</v>
      </c>
      <c r="F72" t="s">
        <v>101</v>
      </c>
      <c r="G72" s="2">
        <v>3.67</v>
      </c>
      <c r="H72" s="2">
        <v>15</v>
      </c>
      <c r="I72" t="s">
        <v>110</v>
      </c>
      <c r="J72" t="s">
        <v>135</v>
      </c>
      <c r="K72" t="s">
        <v>167</v>
      </c>
      <c r="L72" t="s">
        <v>53</v>
      </c>
      <c r="M72" t="s">
        <v>50</v>
      </c>
      <c r="N72" s="4" t="str">
        <f t="shared" si="4"/>
        <v>Not high</v>
      </c>
      <c r="O72" s="4">
        <f>IF(Table13[[#This Row],[Phone distraction text]]="High",1,0)</f>
        <v>0</v>
      </c>
      <c r="P72" s="2">
        <v>5</v>
      </c>
      <c r="Q72" t="s">
        <v>91</v>
      </c>
      <c r="R72" s="4">
        <f t="shared" si="5"/>
        <v>0</v>
      </c>
      <c r="S72" t="s">
        <v>75</v>
      </c>
      <c r="T72" t="s">
        <v>53</v>
      </c>
      <c r="U72" t="s">
        <v>54</v>
      </c>
      <c r="V72" t="s">
        <v>176</v>
      </c>
      <c r="X72" t="s">
        <v>56</v>
      </c>
      <c r="Y72" t="s">
        <v>57</v>
      </c>
      <c r="Z72" t="s">
        <v>79</v>
      </c>
      <c r="AA72" s="2">
        <v>4</v>
      </c>
      <c r="AB72" t="s">
        <v>60</v>
      </c>
      <c r="AC72" t="s">
        <v>128</v>
      </c>
      <c r="AD72" t="s">
        <v>97</v>
      </c>
      <c r="AE72" t="s">
        <v>53</v>
      </c>
      <c r="AF72" t="s">
        <v>83</v>
      </c>
      <c r="AG72" t="s">
        <v>84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</row>
    <row r="73" spans="1:38">
      <c r="A73">
        <v>80</v>
      </c>
      <c r="B73" t="s">
        <v>124</v>
      </c>
      <c r="C73" t="s">
        <v>41</v>
      </c>
      <c r="D73" t="s">
        <v>145</v>
      </c>
      <c r="E73" t="s">
        <v>68</v>
      </c>
      <c r="F73" t="s">
        <v>101</v>
      </c>
      <c r="G73" s="2">
        <v>3.79</v>
      </c>
      <c r="H73" s="2">
        <v>18</v>
      </c>
      <c r="I73" t="s">
        <v>47</v>
      </c>
      <c r="J73" t="s">
        <v>73</v>
      </c>
      <c r="K73" t="s">
        <v>49</v>
      </c>
      <c r="L73" t="s">
        <v>50</v>
      </c>
      <c r="M73" t="s">
        <v>50</v>
      </c>
      <c r="N73" s="4" t="str">
        <f t="shared" si="4"/>
        <v>Not high</v>
      </c>
      <c r="O73" s="4">
        <f>IF(Table13[[#This Row],[Phone distraction text]]="High",1,0)</f>
        <v>0</v>
      </c>
      <c r="P73" s="2">
        <v>3</v>
      </c>
      <c r="Q73" t="s">
        <v>91</v>
      </c>
      <c r="R73" s="4">
        <f t="shared" si="5"/>
        <v>0</v>
      </c>
      <c r="S73" t="s">
        <v>92</v>
      </c>
      <c r="T73" t="s">
        <v>93</v>
      </c>
      <c r="U73" t="s">
        <v>122</v>
      </c>
      <c r="V73" t="s">
        <v>160</v>
      </c>
      <c r="X73" t="s">
        <v>56</v>
      </c>
      <c r="Y73" t="s">
        <v>56</v>
      </c>
      <c r="Z73" t="s">
        <v>58</v>
      </c>
      <c r="AA73" s="2">
        <v>5</v>
      </c>
      <c r="AB73" t="s">
        <v>113</v>
      </c>
      <c r="AC73" t="s">
        <v>61</v>
      </c>
      <c r="AD73" t="s">
        <v>173</v>
      </c>
      <c r="AE73" t="s">
        <v>53</v>
      </c>
      <c r="AF73" t="s">
        <v>61</v>
      </c>
      <c r="AG73" t="s">
        <v>66</v>
      </c>
      <c r="AH73" t="s">
        <v>66</v>
      </c>
      <c r="AI73" t="s">
        <v>66</v>
      </c>
      <c r="AJ73" t="s">
        <v>66</v>
      </c>
      <c r="AK73" t="s">
        <v>65</v>
      </c>
      <c r="AL73" t="s">
        <v>65</v>
      </c>
    </row>
    <row r="74" spans="1:38">
      <c r="A74">
        <v>81</v>
      </c>
      <c r="B74" t="s">
        <v>272</v>
      </c>
      <c r="C74" t="s">
        <v>86</v>
      </c>
      <c r="D74" t="s">
        <v>174</v>
      </c>
      <c r="E74" t="s">
        <v>43</v>
      </c>
      <c r="F74" t="s">
        <v>69</v>
      </c>
      <c r="G74" s="2">
        <v>3.94</v>
      </c>
      <c r="H74" s="2">
        <v>12</v>
      </c>
      <c r="I74" t="s">
        <v>89</v>
      </c>
      <c r="J74" t="s">
        <v>135</v>
      </c>
      <c r="K74" t="s">
        <v>49</v>
      </c>
      <c r="L74" t="s">
        <v>103</v>
      </c>
      <c r="M74" t="s">
        <v>53</v>
      </c>
      <c r="N74" s="4" t="str">
        <f t="shared" si="4"/>
        <v>High</v>
      </c>
      <c r="O74" s="4">
        <f>IF(Table13[[#This Row],[Phone distraction text]]="High",1,0)</f>
        <v>1</v>
      </c>
      <c r="P74" s="2">
        <v>7</v>
      </c>
      <c r="Q74" t="s">
        <v>91</v>
      </c>
      <c r="R74" s="4">
        <f t="shared" si="5"/>
        <v>0</v>
      </c>
      <c r="S74" t="s">
        <v>75</v>
      </c>
      <c r="T74" t="s">
        <v>93</v>
      </c>
      <c r="U74" t="s">
        <v>76</v>
      </c>
      <c r="V74" t="s">
        <v>55</v>
      </c>
      <c r="X74" t="s">
        <v>56</v>
      </c>
      <c r="Y74" t="s">
        <v>78</v>
      </c>
      <c r="Z74" t="s">
        <v>95</v>
      </c>
      <c r="AA74" s="2">
        <v>4</v>
      </c>
      <c r="AB74" t="s">
        <v>113</v>
      </c>
      <c r="AC74" t="s">
        <v>178</v>
      </c>
      <c r="AD74" t="s">
        <v>62</v>
      </c>
      <c r="AE74" t="s">
        <v>53</v>
      </c>
      <c r="AF74" t="s">
        <v>178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65</v>
      </c>
    </row>
    <row r="75" spans="1:38">
      <c r="A75">
        <v>82</v>
      </c>
      <c r="B75" t="s">
        <v>272</v>
      </c>
      <c r="C75" t="s">
        <v>41</v>
      </c>
      <c r="D75" t="s">
        <v>288</v>
      </c>
      <c r="E75" t="s">
        <v>43</v>
      </c>
      <c r="F75" t="s">
        <v>69</v>
      </c>
      <c r="G75" s="2">
        <v>3.8</v>
      </c>
      <c r="H75" s="2">
        <v>19</v>
      </c>
      <c r="I75" t="s">
        <v>47</v>
      </c>
      <c r="J75" t="s">
        <v>48</v>
      </c>
      <c r="K75" t="s">
        <v>49</v>
      </c>
      <c r="L75" t="s">
        <v>53</v>
      </c>
      <c r="M75" t="s">
        <v>50</v>
      </c>
      <c r="N75" s="4" t="str">
        <f t="shared" si="4"/>
        <v>Not high</v>
      </c>
      <c r="O75" s="4">
        <f>IF(Table13[[#This Row],[Phone distraction text]]="High",1,0)</f>
        <v>0</v>
      </c>
      <c r="P75" s="2">
        <v>7</v>
      </c>
      <c r="Q75" t="s">
        <v>91</v>
      </c>
      <c r="R75" s="4">
        <f t="shared" si="5"/>
        <v>0</v>
      </c>
      <c r="S75" t="s">
        <v>92</v>
      </c>
      <c r="T75" t="s">
        <v>63</v>
      </c>
      <c r="U75" t="s">
        <v>54</v>
      </c>
      <c r="V75" t="s">
        <v>427</v>
      </c>
      <c r="X75" t="s">
        <v>56</v>
      </c>
      <c r="Y75" t="s">
        <v>56</v>
      </c>
      <c r="Z75" t="s">
        <v>112</v>
      </c>
      <c r="AA75" s="2">
        <v>4</v>
      </c>
      <c r="AB75" t="s">
        <v>113</v>
      </c>
      <c r="AC75" t="s">
        <v>61</v>
      </c>
      <c r="AD75" t="s">
        <v>165</v>
      </c>
      <c r="AE75" t="s">
        <v>50</v>
      </c>
      <c r="AF75" t="s">
        <v>61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65</v>
      </c>
    </row>
    <row r="76" spans="1:38">
      <c r="A76">
        <v>83</v>
      </c>
      <c r="B76" t="s">
        <v>98</v>
      </c>
      <c r="C76" t="s">
        <v>41</v>
      </c>
      <c r="D76" t="s">
        <v>268</v>
      </c>
      <c r="E76" t="s">
        <v>68</v>
      </c>
      <c r="F76" t="s">
        <v>101</v>
      </c>
      <c r="G76" s="2">
        <v>3.7</v>
      </c>
      <c r="H76" s="2">
        <v>15</v>
      </c>
      <c r="I76" t="s">
        <v>72</v>
      </c>
      <c r="J76" t="s">
        <v>135</v>
      </c>
      <c r="K76" t="s">
        <v>49</v>
      </c>
      <c r="L76" t="s">
        <v>63</v>
      </c>
      <c r="M76" t="s">
        <v>50</v>
      </c>
      <c r="N76" s="4" t="str">
        <f t="shared" si="4"/>
        <v>Not high</v>
      </c>
      <c r="O76" s="4">
        <f>IF(Table13[[#This Row],[Phone distraction text]]="High",1,0)</f>
        <v>0</v>
      </c>
      <c r="P76" s="2">
        <v>4</v>
      </c>
      <c r="Q76" t="s">
        <v>104</v>
      </c>
      <c r="R76" s="4">
        <f t="shared" si="5"/>
        <v>0</v>
      </c>
      <c r="S76" t="s">
        <v>121</v>
      </c>
      <c r="T76" t="s">
        <v>53</v>
      </c>
      <c r="U76" t="s">
        <v>122</v>
      </c>
      <c r="V76" t="s">
        <v>157</v>
      </c>
      <c r="X76" t="s">
        <v>56</v>
      </c>
      <c r="Y76" t="s">
        <v>78</v>
      </c>
      <c r="Z76" t="s">
        <v>291</v>
      </c>
      <c r="AA76" s="2">
        <v>4</v>
      </c>
      <c r="AB76" t="s">
        <v>96</v>
      </c>
      <c r="AC76" t="s">
        <v>128</v>
      </c>
      <c r="AD76" t="s">
        <v>97</v>
      </c>
      <c r="AE76" t="s">
        <v>63</v>
      </c>
      <c r="AF76" t="s">
        <v>61</v>
      </c>
      <c r="AG76" t="s">
        <v>84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</row>
    <row r="77" spans="1:38">
      <c r="A77">
        <v>84</v>
      </c>
      <c r="B77" t="s">
        <v>85</v>
      </c>
      <c r="C77" t="s">
        <v>41</v>
      </c>
      <c r="D77" t="s">
        <v>253</v>
      </c>
      <c r="E77" t="s">
        <v>68</v>
      </c>
      <c r="F77" t="s">
        <v>101</v>
      </c>
      <c r="G77" s="2">
        <v>3.78</v>
      </c>
      <c r="H77" s="2">
        <v>15</v>
      </c>
      <c r="I77" t="s">
        <v>47</v>
      </c>
      <c r="J77" t="s">
        <v>135</v>
      </c>
      <c r="K77" t="s">
        <v>49</v>
      </c>
      <c r="L77" t="s">
        <v>50</v>
      </c>
      <c r="M77" t="s">
        <v>50</v>
      </c>
      <c r="N77" s="4" t="str">
        <f t="shared" si="4"/>
        <v>Not high</v>
      </c>
      <c r="O77" s="4">
        <f>IF(Table13[[#This Row],[Phone distraction text]]="High",1,0)</f>
        <v>0</v>
      </c>
      <c r="P77" s="2">
        <v>5</v>
      </c>
      <c r="Q77" t="s">
        <v>91</v>
      </c>
      <c r="R77" s="4">
        <f t="shared" si="5"/>
        <v>0</v>
      </c>
      <c r="S77" t="s">
        <v>121</v>
      </c>
      <c r="T77" t="s">
        <v>93</v>
      </c>
      <c r="U77" t="s">
        <v>122</v>
      </c>
      <c r="V77" t="s">
        <v>428</v>
      </c>
      <c r="X77" t="s">
        <v>78</v>
      </c>
      <c r="Y77" t="s">
        <v>56</v>
      </c>
      <c r="Z77" t="s">
        <v>58</v>
      </c>
      <c r="AA77" s="2">
        <v>5</v>
      </c>
      <c r="AB77" t="s">
        <v>113</v>
      </c>
      <c r="AC77" t="s">
        <v>82</v>
      </c>
      <c r="AD77" t="s">
        <v>62</v>
      </c>
      <c r="AE77" t="s">
        <v>53</v>
      </c>
      <c r="AF77" t="s">
        <v>83</v>
      </c>
      <c r="AG77" t="s">
        <v>64</v>
      </c>
      <c r="AH77" t="s">
        <v>64</v>
      </c>
      <c r="AI77" t="s">
        <v>64</v>
      </c>
      <c r="AJ77" t="s">
        <v>84</v>
      </c>
      <c r="AK77" t="s">
        <v>66</v>
      </c>
      <c r="AL77" t="s">
        <v>64</v>
      </c>
    </row>
    <row r="78" spans="1:38">
      <c r="A78">
        <v>85</v>
      </c>
      <c r="B78" t="s">
        <v>98</v>
      </c>
      <c r="C78" t="s">
        <v>41</v>
      </c>
      <c r="D78" t="s">
        <v>293</v>
      </c>
      <c r="E78" t="s">
        <v>68</v>
      </c>
      <c r="F78" t="s">
        <v>101</v>
      </c>
      <c r="G78" s="2">
        <v>3.8</v>
      </c>
      <c r="H78" s="2">
        <v>15</v>
      </c>
      <c r="I78" t="s">
        <v>110</v>
      </c>
      <c r="J78" t="s">
        <v>135</v>
      </c>
      <c r="K78" t="s">
        <v>49</v>
      </c>
      <c r="L78" t="s">
        <v>93</v>
      </c>
      <c r="M78" t="s">
        <v>53</v>
      </c>
      <c r="N78" s="4" t="str">
        <f t="shared" si="4"/>
        <v>High</v>
      </c>
      <c r="O78" s="4">
        <f>IF(Table13[[#This Row],[Phone distraction text]]="High",1,0)</f>
        <v>1</v>
      </c>
      <c r="P78" s="2">
        <v>3</v>
      </c>
      <c r="Q78" t="s">
        <v>91</v>
      </c>
      <c r="R78" s="4">
        <f t="shared" si="5"/>
        <v>0</v>
      </c>
      <c r="S78" t="s">
        <v>52</v>
      </c>
      <c r="T78" t="s">
        <v>93</v>
      </c>
      <c r="U78" t="s">
        <v>105</v>
      </c>
      <c r="V78" t="s">
        <v>429</v>
      </c>
      <c r="X78" t="s">
        <v>56</v>
      </c>
      <c r="Y78" t="s">
        <v>78</v>
      </c>
      <c r="Z78" t="s">
        <v>95</v>
      </c>
      <c r="AA78" s="2">
        <v>5</v>
      </c>
      <c r="AB78" t="s">
        <v>113</v>
      </c>
      <c r="AC78" t="s">
        <v>82</v>
      </c>
      <c r="AD78" t="s">
        <v>107</v>
      </c>
      <c r="AE78" t="s">
        <v>63</v>
      </c>
      <c r="AF78" t="s">
        <v>61</v>
      </c>
      <c r="AG78" t="s">
        <v>84</v>
      </c>
      <c r="AH78" t="s">
        <v>84</v>
      </c>
      <c r="AI78" t="s">
        <v>84</v>
      </c>
      <c r="AJ78" t="s">
        <v>64</v>
      </c>
      <c r="AK78" t="s">
        <v>66</v>
      </c>
      <c r="AL78" t="s">
        <v>193</v>
      </c>
    </row>
    <row r="79" spans="1:38">
      <c r="A79">
        <v>86</v>
      </c>
      <c r="B79" t="s">
        <v>98</v>
      </c>
      <c r="C79" t="s">
        <v>86</v>
      </c>
      <c r="D79" t="s">
        <v>295</v>
      </c>
      <c r="E79" t="s">
        <v>68</v>
      </c>
      <c r="F79" t="s">
        <v>198</v>
      </c>
      <c r="G79" s="2">
        <v>3.69</v>
      </c>
      <c r="H79" s="2">
        <v>16</v>
      </c>
      <c r="I79" t="s">
        <v>89</v>
      </c>
      <c r="J79" t="s">
        <v>135</v>
      </c>
      <c r="K79" t="s">
        <v>49</v>
      </c>
      <c r="L79" t="s">
        <v>50</v>
      </c>
      <c r="M79" t="s">
        <v>50</v>
      </c>
      <c r="N79" s="4" t="str">
        <f t="shared" si="4"/>
        <v>Not high</v>
      </c>
      <c r="O79" s="4">
        <f>IF(Table13[[#This Row],[Phone distraction text]]="High",1,0)</f>
        <v>0</v>
      </c>
      <c r="P79" s="2">
        <v>5</v>
      </c>
      <c r="Q79" t="s">
        <v>51</v>
      </c>
      <c r="R79" s="4">
        <f t="shared" si="5"/>
        <v>1</v>
      </c>
      <c r="S79" t="s">
        <v>75</v>
      </c>
      <c r="T79" t="s">
        <v>103</v>
      </c>
      <c r="U79" t="s">
        <v>105</v>
      </c>
      <c r="V79" t="s">
        <v>430</v>
      </c>
      <c r="X79" t="s">
        <v>78</v>
      </c>
      <c r="Y79" t="s">
        <v>56</v>
      </c>
      <c r="Z79" t="s">
        <v>79</v>
      </c>
      <c r="AA79" s="2">
        <v>5</v>
      </c>
      <c r="AB79" t="s">
        <v>113</v>
      </c>
      <c r="AC79" t="s">
        <v>128</v>
      </c>
      <c r="AD79" t="s">
        <v>62</v>
      </c>
      <c r="AE79" t="s">
        <v>63</v>
      </c>
      <c r="AF79" t="s">
        <v>83</v>
      </c>
      <c r="AG79" t="s">
        <v>84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</row>
    <row r="80" spans="1:38">
      <c r="A80">
        <v>87</v>
      </c>
      <c r="B80" t="s">
        <v>98</v>
      </c>
      <c r="C80" t="s">
        <v>41</v>
      </c>
      <c r="D80" t="s">
        <v>298</v>
      </c>
      <c r="E80" t="s">
        <v>43</v>
      </c>
      <c r="F80" t="s">
        <v>198</v>
      </c>
      <c r="G80" s="2">
        <v>3.3</v>
      </c>
      <c r="H80" s="2">
        <v>19</v>
      </c>
      <c r="I80" t="s">
        <v>189</v>
      </c>
      <c r="J80" t="s">
        <v>135</v>
      </c>
      <c r="K80" t="s">
        <v>49</v>
      </c>
      <c r="L80" t="s">
        <v>50</v>
      </c>
      <c r="M80" t="s">
        <v>63</v>
      </c>
      <c r="N80" s="4" t="str">
        <f t="shared" si="4"/>
        <v>High</v>
      </c>
      <c r="O80" s="4">
        <f>IF(Table13[[#This Row],[Phone distraction text]]="High",1,0)</f>
        <v>1</v>
      </c>
      <c r="P80" s="2">
        <v>4</v>
      </c>
      <c r="Q80" t="s">
        <v>74</v>
      </c>
      <c r="R80" s="4">
        <f t="shared" si="5"/>
        <v>1</v>
      </c>
      <c r="S80" t="s">
        <v>92</v>
      </c>
      <c r="T80" t="s">
        <v>93</v>
      </c>
      <c r="U80" t="s">
        <v>105</v>
      </c>
      <c r="V80" t="s">
        <v>423</v>
      </c>
      <c r="X80" t="s">
        <v>78</v>
      </c>
      <c r="Y80" t="s">
        <v>56</v>
      </c>
      <c r="Z80" t="s">
        <v>79</v>
      </c>
      <c r="AA80" s="2">
        <v>4</v>
      </c>
      <c r="AB80" t="s">
        <v>96</v>
      </c>
      <c r="AC80" t="s">
        <v>128</v>
      </c>
      <c r="AD80" t="s">
        <v>62</v>
      </c>
      <c r="AE80" t="s">
        <v>63</v>
      </c>
      <c r="AF80" t="s">
        <v>128</v>
      </c>
      <c r="AG80" t="s">
        <v>84</v>
      </c>
      <c r="AH80" t="s">
        <v>64</v>
      </c>
      <c r="AI80" t="s">
        <v>65</v>
      </c>
      <c r="AJ80" t="s">
        <v>64</v>
      </c>
      <c r="AK80" t="s">
        <v>65</v>
      </c>
      <c r="AL80" t="s">
        <v>64</v>
      </c>
    </row>
    <row r="81" spans="1:38">
      <c r="A81">
        <v>88</v>
      </c>
      <c r="B81" t="s">
        <v>98</v>
      </c>
      <c r="C81" t="s">
        <v>41</v>
      </c>
      <c r="D81" t="s">
        <v>300</v>
      </c>
      <c r="E81" t="s">
        <v>68</v>
      </c>
      <c r="F81" t="s">
        <v>69</v>
      </c>
      <c r="G81" s="2">
        <v>3.93</v>
      </c>
      <c r="H81" s="2">
        <v>12</v>
      </c>
      <c r="I81" t="s">
        <v>47</v>
      </c>
      <c r="J81" t="s">
        <v>73</v>
      </c>
      <c r="K81" t="s">
        <v>49</v>
      </c>
      <c r="L81" t="s">
        <v>103</v>
      </c>
      <c r="M81" t="s">
        <v>50</v>
      </c>
      <c r="N81" s="4" t="str">
        <f t="shared" si="4"/>
        <v>Not high</v>
      </c>
      <c r="O81" s="4">
        <f>IF(Table13[[#This Row],[Phone distraction text]]="High",1,0)</f>
        <v>0</v>
      </c>
      <c r="P81" s="2">
        <v>4</v>
      </c>
      <c r="Q81" t="s">
        <v>74</v>
      </c>
      <c r="R81" s="4">
        <f t="shared" si="5"/>
        <v>1</v>
      </c>
      <c r="S81" t="s">
        <v>75</v>
      </c>
      <c r="T81" t="s">
        <v>53</v>
      </c>
      <c r="U81" t="s">
        <v>76</v>
      </c>
      <c r="V81" t="s">
        <v>160</v>
      </c>
      <c r="X81" t="s">
        <v>56</v>
      </c>
      <c r="Y81" t="s">
        <v>56</v>
      </c>
      <c r="Z81" t="s">
        <v>95</v>
      </c>
      <c r="AA81" s="2">
        <v>4</v>
      </c>
      <c r="AB81" t="s">
        <v>113</v>
      </c>
      <c r="AC81" t="s">
        <v>61</v>
      </c>
      <c r="AD81" t="s">
        <v>62</v>
      </c>
      <c r="AE81" t="s">
        <v>50</v>
      </c>
      <c r="AF81" t="s">
        <v>61</v>
      </c>
      <c r="AG81" t="s">
        <v>64</v>
      </c>
      <c r="AH81" t="s">
        <v>65</v>
      </c>
      <c r="AI81" t="s">
        <v>64</v>
      </c>
      <c r="AJ81" t="s">
        <v>64</v>
      </c>
      <c r="AK81" t="s">
        <v>64</v>
      </c>
      <c r="AL81" t="s">
        <v>65</v>
      </c>
    </row>
    <row r="82" spans="1:38">
      <c r="A82">
        <v>89</v>
      </c>
      <c r="B82" t="s">
        <v>40</v>
      </c>
      <c r="C82" t="s">
        <v>86</v>
      </c>
      <c r="D82" t="s">
        <v>303</v>
      </c>
      <c r="E82" t="s">
        <v>68</v>
      </c>
      <c r="F82" t="s">
        <v>69</v>
      </c>
      <c r="G82" s="2">
        <v>3.67</v>
      </c>
      <c r="H82" s="2">
        <v>19</v>
      </c>
      <c r="I82" t="s">
        <v>189</v>
      </c>
      <c r="J82" t="s">
        <v>73</v>
      </c>
      <c r="K82" t="s">
        <v>49</v>
      </c>
      <c r="L82" t="s">
        <v>93</v>
      </c>
      <c r="M82" t="s">
        <v>53</v>
      </c>
      <c r="N82" s="4" t="str">
        <f t="shared" si="4"/>
        <v>High</v>
      </c>
      <c r="O82" s="4">
        <f>IF(Table13[[#This Row],[Phone distraction text]]="High",1,0)</f>
        <v>1</v>
      </c>
      <c r="P82" s="2">
        <v>7</v>
      </c>
      <c r="Q82" t="s">
        <v>51</v>
      </c>
      <c r="R82" s="4">
        <f t="shared" si="5"/>
        <v>1</v>
      </c>
      <c r="S82" t="s">
        <v>92</v>
      </c>
      <c r="T82" t="s">
        <v>103</v>
      </c>
      <c r="U82" t="s">
        <v>122</v>
      </c>
      <c r="V82" t="s">
        <v>160</v>
      </c>
      <c r="X82" t="s">
        <v>78</v>
      </c>
      <c r="Y82" t="s">
        <v>56</v>
      </c>
      <c r="Z82" t="s">
        <v>58</v>
      </c>
      <c r="AA82" s="2">
        <v>4</v>
      </c>
      <c r="AB82" t="s">
        <v>96</v>
      </c>
      <c r="AC82" t="s">
        <v>61</v>
      </c>
      <c r="AD82" t="s">
        <v>173</v>
      </c>
      <c r="AE82" t="s">
        <v>63</v>
      </c>
      <c r="AF82" t="s">
        <v>83</v>
      </c>
      <c r="AG82" t="s">
        <v>64</v>
      </c>
      <c r="AH82" t="s">
        <v>64</v>
      </c>
      <c r="AI82" t="s">
        <v>64</v>
      </c>
      <c r="AJ82" t="s">
        <v>84</v>
      </c>
      <c r="AK82" t="s">
        <v>84</v>
      </c>
      <c r="AL82" t="s">
        <v>64</v>
      </c>
    </row>
    <row r="83" spans="1:38">
      <c r="A83">
        <v>90</v>
      </c>
      <c r="B83" t="s">
        <v>85</v>
      </c>
      <c r="C83" t="s">
        <v>41</v>
      </c>
      <c r="D83" t="s">
        <v>304</v>
      </c>
      <c r="E83" t="s">
        <v>68</v>
      </c>
      <c r="F83" t="s">
        <v>198</v>
      </c>
      <c r="G83" s="2">
        <v>3.4</v>
      </c>
      <c r="H83" s="2">
        <v>18</v>
      </c>
      <c r="I83" t="s">
        <v>72</v>
      </c>
      <c r="J83" t="s">
        <v>135</v>
      </c>
      <c r="K83" t="s">
        <v>49</v>
      </c>
      <c r="L83" t="s">
        <v>53</v>
      </c>
      <c r="M83" t="s">
        <v>50</v>
      </c>
      <c r="N83" s="4" t="str">
        <f t="shared" si="4"/>
        <v>Not high</v>
      </c>
      <c r="O83" s="4">
        <f>IF(Table13[[#This Row],[Phone distraction text]]="High",1,0)</f>
        <v>0</v>
      </c>
      <c r="P83" s="2">
        <v>7</v>
      </c>
      <c r="Q83" t="s">
        <v>91</v>
      </c>
      <c r="R83" s="4">
        <f t="shared" si="5"/>
        <v>0</v>
      </c>
      <c r="S83" t="s">
        <v>92</v>
      </c>
      <c r="T83" t="s">
        <v>53</v>
      </c>
      <c r="U83" t="s">
        <v>54</v>
      </c>
      <c r="V83" t="s">
        <v>424</v>
      </c>
      <c r="X83" t="s">
        <v>56</v>
      </c>
      <c r="Y83" t="s">
        <v>78</v>
      </c>
      <c r="Z83" t="s">
        <v>95</v>
      </c>
      <c r="AA83" s="2">
        <v>5</v>
      </c>
      <c r="AB83" t="s">
        <v>113</v>
      </c>
      <c r="AC83" t="s">
        <v>82</v>
      </c>
      <c r="AD83" t="s">
        <v>97</v>
      </c>
      <c r="AE83" t="s">
        <v>53</v>
      </c>
      <c r="AF83" t="s">
        <v>83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</row>
    <row r="84" spans="1:38">
      <c r="A84">
        <v>91</v>
      </c>
      <c r="B84" t="s">
        <v>124</v>
      </c>
      <c r="C84" t="s">
        <v>306</v>
      </c>
      <c r="D84" t="s">
        <v>307</v>
      </c>
      <c r="E84" t="s">
        <v>43</v>
      </c>
      <c r="F84" t="s">
        <v>101</v>
      </c>
      <c r="G84" s="2">
        <v>3.4</v>
      </c>
      <c r="H84" s="2">
        <v>15</v>
      </c>
      <c r="I84" t="s">
        <v>72</v>
      </c>
      <c r="J84" t="s">
        <v>135</v>
      </c>
      <c r="K84" t="s">
        <v>49</v>
      </c>
      <c r="L84" t="s">
        <v>53</v>
      </c>
      <c r="M84" t="s">
        <v>53</v>
      </c>
      <c r="N84" s="4" t="str">
        <f t="shared" si="4"/>
        <v>High</v>
      </c>
      <c r="O84" s="4">
        <f>IF(Table13[[#This Row],[Phone distraction text]]="High",1,0)</f>
        <v>1</v>
      </c>
      <c r="P84" s="2">
        <v>2</v>
      </c>
      <c r="Q84" t="s">
        <v>91</v>
      </c>
      <c r="R84" s="4">
        <f t="shared" si="5"/>
        <v>0</v>
      </c>
      <c r="S84" t="s">
        <v>75</v>
      </c>
      <c r="T84" t="s">
        <v>53</v>
      </c>
      <c r="U84" t="s">
        <v>105</v>
      </c>
      <c r="V84" t="s">
        <v>183</v>
      </c>
      <c r="X84" t="s">
        <v>56</v>
      </c>
      <c r="Y84" t="s">
        <v>78</v>
      </c>
      <c r="Z84" t="s">
        <v>58</v>
      </c>
      <c r="AA84" s="2">
        <v>5</v>
      </c>
      <c r="AB84" t="s">
        <v>113</v>
      </c>
      <c r="AC84" t="s">
        <v>178</v>
      </c>
      <c r="AD84" t="s">
        <v>173</v>
      </c>
      <c r="AE84" t="s">
        <v>103</v>
      </c>
      <c r="AF84" t="s">
        <v>83</v>
      </c>
      <c r="AG84" t="s">
        <v>64</v>
      </c>
      <c r="AH84" t="s">
        <v>66</v>
      </c>
      <c r="AI84" t="s">
        <v>65</v>
      </c>
      <c r="AJ84" t="s">
        <v>64</v>
      </c>
      <c r="AK84" t="s">
        <v>64</v>
      </c>
      <c r="AL84" t="s">
        <v>64</v>
      </c>
    </row>
    <row r="85" spans="1:38">
      <c r="A85">
        <v>92</v>
      </c>
      <c r="B85" t="s">
        <v>272</v>
      </c>
      <c r="C85" t="s">
        <v>86</v>
      </c>
      <c r="D85" t="s">
        <v>303</v>
      </c>
      <c r="E85" t="s">
        <v>43</v>
      </c>
      <c r="F85" t="s">
        <v>69</v>
      </c>
      <c r="G85" s="2">
        <v>3.2</v>
      </c>
      <c r="H85" s="2">
        <v>14</v>
      </c>
      <c r="I85" t="s">
        <v>47</v>
      </c>
      <c r="J85" t="s">
        <v>73</v>
      </c>
      <c r="K85" t="s">
        <v>49</v>
      </c>
      <c r="L85" t="s">
        <v>50</v>
      </c>
      <c r="M85" t="s">
        <v>63</v>
      </c>
      <c r="N85" s="4" t="str">
        <f t="shared" si="4"/>
        <v>High</v>
      </c>
      <c r="O85" s="4">
        <f>IF(Table13[[#This Row],[Phone distraction text]]="High",1,0)</f>
        <v>1</v>
      </c>
      <c r="P85" s="2">
        <v>7</v>
      </c>
      <c r="Q85" t="s">
        <v>104</v>
      </c>
      <c r="R85" s="4">
        <f t="shared" si="5"/>
        <v>0</v>
      </c>
      <c r="S85" t="s">
        <v>92</v>
      </c>
      <c r="T85" t="s">
        <v>63</v>
      </c>
      <c r="U85" t="s">
        <v>76</v>
      </c>
      <c r="V85" t="s">
        <v>171</v>
      </c>
      <c r="X85" t="s">
        <v>57</v>
      </c>
      <c r="Y85" t="s">
        <v>56</v>
      </c>
      <c r="Z85" t="s">
        <v>95</v>
      </c>
      <c r="AA85" s="2">
        <v>5</v>
      </c>
      <c r="AB85" t="s">
        <v>113</v>
      </c>
      <c r="AC85" t="s">
        <v>128</v>
      </c>
      <c r="AD85" t="s">
        <v>62</v>
      </c>
      <c r="AE85" t="s">
        <v>53</v>
      </c>
      <c r="AF85" t="s">
        <v>83</v>
      </c>
      <c r="AG85" t="s">
        <v>84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</row>
    <row r="86" spans="1:38">
      <c r="A86">
        <v>93</v>
      </c>
      <c r="B86" t="s">
        <v>98</v>
      </c>
      <c r="C86" t="s">
        <v>309</v>
      </c>
      <c r="D86" t="s">
        <v>310</v>
      </c>
      <c r="E86" t="s">
        <v>43</v>
      </c>
      <c r="F86" t="s">
        <v>69</v>
      </c>
      <c r="G86" s="2">
        <v>3.3</v>
      </c>
      <c r="H86" s="2">
        <v>15</v>
      </c>
      <c r="I86" t="s">
        <v>72</v>
      </c>
      <c r="J86" t="s">
        <v>135</v>
      </c>
      <c r="K86" t="s">
        <v>167</v>
      </c>
      <c r="L86" t="s">
        <v>53</v>
      </c>
      <c r="M86" t="s">
        <v>53</v>
      </c>
      <c r="N86" s="4" t="str">
        <f t="shared" si="4"/>
        <v>High</v>
      </c>
      <c r="O86" s="4">
        <f>IF(Table13[[#This Row],[Phone distraction text]]="High",1,0)</f>
        <v>1</v>
      </c>
      <c r="P86" s="2">
        <v>4</v>
      </c>
      <c r="Q86" t="s">
        <v>74</v>
      </c>
      <c r="R86" s="4">
        <f t="shared" si="5"/>
        <v>1</v>
      </c>
      <c r="S86" t="s">
        <v>121</v>
      </c>
      <c r="T86" t="s">
        <v>53</v>
      </c>
      <c r="U86" t="s">
        <v>105</v>
      </c>
      <c r="V86" t="s">
        <v>160</v>
      </c>
      <c r="X86" t="s">
        <v>57</v>
      </c>
      <c r="Y86" t="s">
        <v>56</v>
      </c>
      <c r="Z86" t="s">
        <v>112</v>
      </c>
      <c r="AA86" s="2">
        <v>5</v>
      </c>
      <c r="AB86" t="s">
        <v>113</v>
      </c>
      <c r="AC86" t="s">
        <v>82</v>
      </c>
      <c r="AD86" t="s">
        <v>107</v>
      </c>
      <c r="AE86" t="s">
        <v>103</v>
      </c>
      <c r="AF86" t="s">
        <v>83</v>
      </c>
      <c r="AG86" t="s">
        <v>84</v>
      </c>
      <c r="AH86" t="s">
        <v>64</v>
      </c>
      <c r="AI86" t="s">
        <v>66</v>
      </c>
      <c r="AJ86" t="s">
        <v>65</v>
      </c>
      <c r="AK86" t="s">
        <v>84</v>
      </c>
      <c r="AL86" t="s">
        <v>84</v>
      </c>
    </row>
    <row r="87" spans="1:38">
      <c r="A87">
        <v>94</v>
      </c>
      <c r="B87" t="s">
        <v>124</v>
      </c>
      <c r="C87" t="s">
        <v>41</v>
      </c>
      <c r="D87" t="s">
        <v>145</v>
      </c>
      <c r="E87" t="s">
        <v>68</v>
      </c>
      <c r="F87" t="s">
        <v>101</v>
      </c>
      <c r="G87" s="2">
        <v>3.96</v>
      </c>
      <c r="H87" s="2">
        <v>15</v>
      </c>
      <c r="I87" t="s">
        <v>189</v>
      </c>
      <c r="J87" t="s">
        <v>135</v>
      </c>
      <c r="K87" t="s">
        <v>148</v>
      </c>
      <c r="L87" t="s">
        <v>63</v>
      </c>
      <c r="M87" t="s">
        <v>50</v>
      </c>
      <c r="N87" s="4" t="str">
        <f t="shared" si="4"/>
        <v>Not high</v>
      </c>
      <c r="O87" s="4">
        <f>IF(Table13[[#This Row],[Phone distraction text]]="High",1,0)</f>
        <v>0</v>
      </c>
      <c r="P87" s="2">
        <v>4</v>
      </c>
      <c r="Q87" t="s">
        <v>91</v>
      </c>
      <c r="R87" s="4">
        <f t="shared" si="5"/>
        <v>0</v>
      </c>
      <c r="S87" t="s">
        <v>121</v>
      </c>
      <c r="T87" t="s">
        <v>53</v>
      </c>
      <c r="U87" t="s">
        <v>116</v>
      </c>
      <c r="V87" t="s">
        <v>144</v>
      </c>
      <c r="X87" t="s">
        <v>56</v>
      </c>
      <c r="Y87" t="s">
        <v>78</v>
      </c>
      <c r="Z87" t="s">
        <v>58</v>
      </c>
      <c r="AA87" s="2">
        <v>5</v>
      </c>
      <c r="AB87" t="s">
        <v>113</v>
      </c>
      <c r="AC87" t="s">
        <v>82</v>
      </c>
      <c r="AD87" t="s">
        <v>314</v>
      </c>
      <c r="AE87" t="s">
        <v>63</v>
      </c>
      <c r="AF87" t="s">
        <v>83</v>
      </c>
      <c r="AG87" t="s">
        <v>64</v>
      </c>
      <c r="AH87" t="s">
        <v>84</v>
      </c>
      <c r="AI87" t="s">
        <v>84</v>
      </c>
      <c r="AJ87" t="s">
        <v>84</v>
      </c>
      <c r="AK87" t="s">
        <v>84</v>
      </c>
      <c r="AL87" t="s">
        <v>84</v>
      </c>
    </row>
    <row r="88" spans="1:38">
      <c r="A88">
        <v>95</v>
      </c>
      <c r="B88" t="s">
        <v>272</v>
      </c>
      <c r="C88" t="s">
        <v>315</v>
      </c>
      <c r="D88" t="s">
        <v>316</v>
      </c>
      <c r="E88" t="s">
        <v>43</v>
      </c>
      <c r="F88" t="s">
        <v>101</v>
      </c>
      <c r="G88" s="2">
        <v>4</v>
      </c>
      <c r="H88" s="2">
        <v>17</v>
      </c>
      <c r="I88" t="s">
        <v>189</v>
      </c>
      <c r="J88" t="s">
        <v>135</v>
      </c>
      <c r="K88" t="s">
        <v>148</v>
      </c>
      <c r="L88" t="s">
        <v>63</v>
      </c>
      <c r="M88" t="s">
        <v>53</v>
      </c>
      <c r="N88" s="4" t="str">
        <f t="shared" si="4"/>
        <v>High</v>
      </c>
      <c r="O88" s="4">
        <f>IF(Table13[[#This Row],[Phone distraction text]]="High",1,0)</f>
        <v>1</v>
      </c>
      <c r="P88" s="2">
        <v>3</v>
      </c>
      <c r="Q88" t="s">
        <v>51</v>
      </c>
      <c r="R88" s="4">
        <f t="shared" si="5"/>
        <v>1</v>
      </c>
      <c r="S88" t="s">
        <v>121</v>
      </c>
      <c r="T88" t="s">
        <v>50</v>
      </c>
      <c r="U88" t="s">
        <v>105</v>
      </c>
      <c r="V88" t="s">
        <v>317</v>
      </c>
      <c r="X88" t="s">
        <v>78</v>
      </c>
      <c r="Y88" t="s">
        <v>78</v>
      </c>
      <c r="Z88" t="s">
        <v>95</v>
      </c>
      <c r="AA88" s="2">
        <v>5</v>
      </c>
      <c r="AB88" t="s">
        <v>113</v>
      </c>
      <c r="AC88" t="s">
        <v>82</v>
      </c>
      <c r="AD88" t="s">
        <v>165</v>
      </c>
      <c r="AE88" t="s">
        <v>63</v>
      </c>
      <c r="AF88" t="s">
        <v>83</v>
      </c>
      <c r="AG88" t="s">
        <v>64</v>
      </c>
      <c r="AH88" t="s">
        <v>64</v>
      </c>
      <c r="AI88" t="s">
        <v>64</v>
      </c>
      <c r="AJ88" t="s">
        <v>64</v>
      </c>
      <c r="AK88" t="s">
        <v>65</v>
      </c>
      <c r="AL88" t="s">
        <v>64</v>
      </c>
    </row>
    <row r="89" spans="1:38">
      <c r="A89">
        <v>96</v>
      </c>
      <c r="B89" t="s">
        <v>98</v>
      </c>
      <c r="C89" t="s">
        <v>318</v>
      </c>
      <c r="D89" t="s">
        <v>319</v>
      </c>
      <c r="E89" t="s">
        <v>43</v>
      </c>
      <c r="F89" t="s">
        <v>101</v>
      </c>
      <c r="G89" s="2">
        <v>4</v>
      </c>
      <c r="H89" s="2">
        <v>17</v>
      </c>
      <c r="I89" t="s">
        <v>47</v>
      </c>
      <c r="J89" t="s">
        <v>135</v>
      </c>
      <c r="K89" t="s">
        <v>148</v>
      </c>
      <c r="L89" t="s">
        <v>53</v>
      </c>
      <c r="M89" t="s">
        <v>50</v>
      </c>
      <c r="N89" s="4" t="str">
        <f t="shared" si="4"/>
        <v>Not high</v>
      </c>
      <c r="O89" s="4">
        <f>IF(Table13[[#This Row],[Phone distraction text]]="High",1,0)</f>
        <v>0</v>
      </c>
      <c r="P89" s="2">
        <v>4</v>
      </c>
      <c r="Q89" t="s">
        <v>74</v>
      </c>
      <c r="R89" s="4">
        <f t="shared" si="5"/>
        <v>1</v>
      </c>
      <c r="S89" t="s">
        <v>92</v>
      </c>
      <c r="T89" t="s">
        <v>103</v>
      </c>
      <c r="U89" t="s">
        <v>116</v>
      </c>
      <c r="V89" t="s">
        <v>431</v>
      </c>
      <c r="X89" t="s">
        <v>56</v>
      </c>
      <c r="Y89" t="s">
        <v>78</v>
      </c>
      <c r="Z89" t="s">
        <v>201</v>
      </c>
      <c r="AA89" s="2">
        <v>4</v>
      </c>
      <c r="AB89" t="s">
        <v>113</v>
      </c>
      <c r="AC89" t="s">
        <v>61</v>
      </c>
      <c r="AD89" t="s">
        <v>165</v>
      </c>
      <c r="AE89" t="s">
        <v>63</v>
      </c>
      <c r="AF89" t="s">
        <v>61</v>
      </c>
      <c r="AG89" t="s">
        <v>65</v>
      </c>
      <c r="AH89" t="s">
        <v>64</v>
      </c>
      <c r="AI89" t="s">
        <v>65</v>
      </c>
      <c r="AJ89" t="s">
        <v>65</v>
      </c>
      <c r="AK89" t="s">
        <v>65</v>
      </c>
      <c r="AL89" t="s">
        <v>65</v>
      </c>
    </row>
    <row r="90" spans="1:38">
      <c r="A90">
        <v>97</v>
      </c>
      <c r="B90" t="s">
        <v>85</v>
      </c>
      <c r="C90" t="s">
        <v>86</v>
      </c>
      <c r="D90" t="s">
        <v>321</v>
      </c>
      <c r="E90" t="s">
        <v>68</v>
      </c>
      <c r="F90" t="s">
        <v>69</v>
      </c>
      <c r="G90" s="2">
        <v>3</v>
      </c>
      <c r="H90" s="2">
        <v>16</v>
      </c>
      <c r="I90" t="s">
        <v>89</v>
      </c>
      <c r="J90" t="s">
        <v>135</v>
      </c>
      <c r="K90" t="s">
        <v>167</v>
      </c>
      <c r="L90" t="s">
        <v>63</v>
      </c>
      <c r="M90" t="s">
        <v>50</v>
      </c>
      <c r="N90" s="4" t="str">
        <f t="shared" si="4"/>
        <v>Not high</v>
      </c>
      <c r="O90" s="4">
        <f>IF(Table13[[#This Row],[Phone distraction text]]="High",1,0)</f>
        <v>0</v>
      </c>
      <c r="P90" s="2">
        <v>5</v>
      </c>
      <c r="Q90" t="s">
        <v>51</v>
      </c>
      <c r="R90" s="4">
        <f t="shared" si="5"/>
        <v>1</v>
      </c>
      <c r="S90" t="s">
        <v>92</v>
      </c>
      <c r="T90" t="s">
        <v>63</v>
      </c>
      <c r="U90" t="s">
        <v>116</v>
      </c>
      <c r="V90" t="s">
        <v>322</v>
      </c>
      <c r="X90" t="s">
        <v>78</v>
      </c>
      <c r="Y90" t="s">
        <v>78</v>
      </c>
      <c r="Z90" t="s">
        <v>95</v>
      </c>
      <c r="AA90" s="2">
        <v>5</v>
      </c>
      <c r="AB90" t="s">
        <v>113</v>
      </c>
      <c r="AC90" t="s">
        <v>279</v>
      </c>
      <c r="AD90" t="s">
        <v>173</v>
      </c>
      <c r="AE90" t="s">
        <v>50</v>
      </c>
      <c r="AF90" t="s">
        <v>178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</row>
    <row r="91" spans="1:38">
      <c r="A91">
        <v>98</v>
      </c>
      <c r="B91" t="s">
        <v>272</v>
      </c>
      <c r="C91" t="s">
        <v>41</v>
      </c>
      <c r="D91" t="s">
        <v>259</v>
      </c>
      <c r="E91" t="s">
        <v>43</v>
      </c>
      <c r="F91" t="s">
        <v>239</v>
      </c>
      <c r="G91" s="2">
        <v>3.4</v>
      </c>
      <c r="H91" s="2">
        <v>3</v>
      </c>
      <c r="I91" t="s">
        <v>110</v>
      </c>
      <c r="J91" t="s">
        <v>243</v>
      </c>
      <c r="K91" t="s">
        <v>49</v>
      </c>
      <c r="L91" t="s">
        <v>93</v>
      </c>
      <c r="M91" t="s">
        <v>63</v>
      </c>
      <c r="N91" s="4" t="str">
        <f t="shared" si="4"/>
        <v>High</v>
      </c>
      <c r="O91" s="4">
        <f>IF(Table13[[#This Row],[Phone distraction text]]="High",1,0)</f>
        <v>1</v>
      </c>
      <c r="P91" s="2">
        <v>3</v>
      </c>
      <c r="Q91" t="s">
        <v>104</v>
      </c>
      <c r="R91" s="4">
        <f t="shared" si="5"/>
        <v>0</v>
      </c>
      <c r="S91" t="s">
        <v>52</v>
      </c>
      <c r="T91" t="s">
        <v>63</v>
      </c>
      <c r="U91" t="s">
        <v>105</v>
      </c>
      <c r="V91" t="s">
        <v>77</v>
      </c>
      <c r="X91" t="s">
        <v>57</v>
      </c>
      <c r="Y91" t="s">
        <v>57</v>
      </c>
      <c r="Z91" t="s">
        <v>95</v>
      </c>
      <c r="AA91" s="2">
        <v>1</v>
      </c>
      <c r="AB91" t="s">
        <v>202</v>
      </c>
      <c r="AC91" t="s">
        <v>128</v>
      </c>
      <c r="AD91" t="s">
        <v>326</v>
      </c>
      <c r="AE91" t="s">
        <v>93</v>
      </c>
      <c r="AF91" t="s">
        <v>128</v>
      </c>
      <c r="AG91" t="s">
        <v>84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</row>
    <row r="92" spans="1:38">
      <c r="A92" s="4">
        <v>99</v>
      </c>
      <c r="B92" s="4" t="s">
        <v>40</v>
      </c>
      <c r="C92" s="4" t="s">
        <v>132</v>
      </c>
      <c r="D92" s="4" t="s">
        <v>129</v>
      </c>
      <c r="E92" s="4" t="s">
        <v>68</v>
      </c>
      <c r="F92" s="4" t="s">
        <v>69</v>
      </c>
      <c r="G92" s="6">
        <v>3.94</v>
      </c>
      <c r="H92" s="6">
        <v>12</v>
      </c>
      <c r="I92" s="4" t="s">
        <v>72</v>
      </c>
      <c r="J92" s="4" t="s">
        <v>73</v>
      </c>
      <c r="K92" s="4" t="s">
        <v>49</v>
      </c>
      <c r="L92" s="4" t="s">
        <v>50</v>
      </c>
      <c r="M92" s="4" t="s">
        <v>50</v>
      </c>
      <c r="N92" s="4" t="str">
        <f t="shared" ref="N92:N123" si="6">IF(OR(M92="Often",M92="Always"),"High","Not high")</f>
        <v>Not high</v>
      </c>
      <c r="O92" s="4">
        <f>IF(Table13[[#This Row],[Phone distraction text]]="High",1,0)</f>
        <v>0</v>
      </c>
      <c r="P92" s="6">
        <v>1</v>
      </c>
      <c r="Q92" s="4" t="s">
        <v>51</v>
      </c>
      <c r="R92" s="4">
        <f t="shared" ref="R92:R123" si="7">IF(OR(Q92="Less than 5",Q92="5-6",Q92="6-7"),1,0)</f>
        <v>1</v>
      </c>
      <c r="S92" s="4" t="s">
        <v>52</v>
      </c>
      <c r="T92" s="4" t="s">
        <v>103</v>
      </c>
      <c r="U92" s="4" t="s">
        <v>122</v>
      </c>
      <c r="V92" s="4" t="s">
        <v>77</v>
      </c>
      <c r="X92" s="4" t="s">
        <v>56</v>
      </c>
      <c r="Y92" s="4" t="s">
        <v>56</v>
      </c>
      <c r="Z92" s="4" t="s">
        <v>58</v>
      </c>
      <c r="AA92" s="6">
        <v>2</v>
      </c>
      <c r="AB92" s="4" t="s">
        <v>60</v>
      </c>
      <c r="AC92" s="4" t="s">
        <v>61</v>
      </c>
      <c r="AD92" s="4" t="s">
        <v>118</v>
      </c>
      <c r="AE92" s="4" t="s">
        <v>50</v>
      </c>
      <c r="AF92" s="4" t="s">
        <v>61</v>
      </c>
      <c r="AG92" s="4" t="s">
        <v>193</v>
      </c>
      <c r="AH92" s="4" t="s">
        <v>65</v>
      </c>
      <c r="AI92" s="4" t="s">
        <v>66</v>
      </c>
      <c r="AJ92" s="4" t="s">
        <v>64</v>
      </c>
      <c r="AK92" s="4" t="s">
        <v>66</v>
      </c>
      <c r="AL92" s="4" t="s">
        <v>84</v>
      </c>
    </row>
    <row r="93" spans="1:38">
      <c r="A93">
        <v>100</v>
      </c>
      <c r="B93" t="s">
        <v>85</v>
      </c>
      <c r="C93" t="s">
        <v>86</v>
      </c>
      <c r="D93" t="s">
        <v>303</v>
      </c>
      <c r="E93" t="s">
        <v>43</v>
      </c>
      <c r="F93" t="s">
        <v>101</v>
      </c>
      <c r="G93" s="2">
        <v>3.45</v>
      </c>
      <c r="H93" s="2">
        <v>13</v>
      </c>
      <c r="I93" t="s">
        <v>72</v>
      </c>
      <c r="J93" t="s">
        <v>135</v>
      </c>
      <c r="K93" t="s">
        <v>148</v>
      </c>
      <c r="L93" t="s">
        <v>63</v>
      </c>
      <c r="M93" t="s">
        <v>50</v>
      </c>
      <c r="N93" s="4" t="str">
        <f t="shared" si="6"/>
        <v>Not high</v>
      </c>
      <c r="O93" s="4">
        <f>IF(Table13[[#This Row],[Phone distraction text]]="High",1,0)</f>
        <v>0</v>
      </c>
      <c r="P93" s="2">
        <v>10</v>
      </c>
      <c r="Q93" t="s">
        <v>91</v>
      </c>
      <c r="R93" s="4">
        <f t="shared" si="7"/>
        <v>0</v>
      </c>
      <c r="S93" t="s">
        <v>121</v>
      </c>
      <c r="T93" t="s">
        <v>53</v>
      </c>
      <c r="U93" t="s">
        <v>105</v>
      </c>
      <c r="V93" t="s">
        <v>432</v>
      </c>
      <c r="X93" t="s">
        <v>78</v>
      </c>
      <c r="Y93" t="s">
        <v>78</v>
      </c>
      <c r="Z93" t="s">
        <v>112</v>
      </c>
      <c r="AA93" s="2">
        <v>4</v>
      </c>
      <c r="AB93" t="s">
        <v>113</v>
      </c>
      <c r="AC93" t="s">
        <v>61</v>
      </c>
      <c r="AD93" t="s">
        <v>173</v>
      </c>
      <c r="AE93" t="s">
        <v>53</v>
      </c>
      <c r="AF93" t="s">
        <v>61</v>
      </c>
      <c r="AG93" t="s">
        <v>64</v>
      </c>
      <c r="AH93" t="s">
        <v>65</v>
      </c>
      <c r="AI93" t="s">
        <v>65</v>
      </c>
      <c r="AJ93" t="s">
        <v>64</v>
      </c>
      <c r="AK93" t="s">
        <v>64</v>
      </c>
      <c r="AL93" t="s">
        <v>65</v>
      </c>
    </row>
    <row r="94" spans="1:38">
      <c r="A94">
        <v>101</v>
      </c>
      <c r="B94" t="s">
        <v>40</v>
      </c>
      <c r="C94" t="s">
        <v>41</v>
      </c>
      <c r="D94" t="s">
        <v>330</v>
      </c>
      <c r="E94" t="s">
        <v>68</v>
      </c>
      <c r="F94" t="s">
        <v>69</v>
      </c>
      <c r="G94" s="2">
        <v>3.94</v>
      </c>
      <c r="H94" s="2">
        <v>12</v>
      </c>
      <c r="I94" t="s">
        <v>110</v>
      </c>
      <c r="J94" t="s">
        <v>73</v>
      </c>
      <c r="K94" t="s">
        <v>49</v>
      </c>
      <c r="L94" t="s">
        <v>103</v>
      </c>
      <c r="M94" t="s">
        <v>53</v>
      </c>
      <c r="N94" s="4" t="str">
        <f t="shared" si="6"/>
        <v>High</v>
      </c>
      <c r="O94" s="4">
        <f>IF(Table13[[#This Row],[Phone distraction text]]="High",1,0)</f>
        <v>1</v>
      </c>
      <c r="P94" s="2">
        <v>1</v>
      </c>
      <c r="Q94" t="s">
        <v>74</v>
      </c>
      <c r="R94" s="4">
        <f t="shared" si="7"/>
        <v>1</v>
      </c>
      <c r="S94" t="s">
        <v>52</v>
      </c>
      <c r="T94" t="s">
        <v>93</v>
      </c>
      <c r="U94" t="s">
        <v>105</v>
      </c>
      <c r="V94" t="s">
        <v>408</v>
      </c>
      <c r="X94" t="s">
        <v>57</v>
      </c>
      <c r="Y94" t="s">
        <v>78</v>
      </c>
      <c r="Z94" t="s">
        <v>291</v>
      </c>
      <c r="AA94" s="2">
        <v>5</v>
      </c>
      <c r="AB94" t="s">
        <v>113</v>
      </c>
      <c r="AC94" t="s">
        <v>61</v>
      </c>
      <c r="AD94" t="s">
        <v>118</v>
      </c>
      <c r="AE94" t="s">
        <v>53</v>
      </c>
      <c r="AF94" t="s">
        <v>178</v>
      </c>
      <c r="AG94" t="s">
        <v>66</v>
      </c>
      <c r="AH94" t="s">
        <v>65</v>
      </c>
      <c r="AI94" t="s">
        <v>64</v>
      </c>
      <c r="AJ94" t="s">
        <v>84</v>
      </c>
      <c r="AK94" t="s">
        <v>64</v>
      </c>
      <c r="AL94" t="s">
        <v>65</v>
      </c>
    </row>
    <row r="95" spans="1:38">
      <c r="A95">
        <v>102</v>
      </c>
      <c r="B95" t="s">
        <v>98</v>
      </c>
      <c r="C95" t="s">
        <v>41</v>
      </c>
      <c r="D95" t="s">
        <v>125</v>
      </c>
      <c r="E95" t="s">
        <v>68</v>
      </c>
      <c r="F95" t="s">
        <v>198</v>
      </c>
      <c r="G95" s="2">
        <v>3.1</v>
      </c>
      <c r="H95" s="2">
        <v>12</v>
      </c>
      <c r="I95" t="s">
        <v>89</v>
      </c>
      <c r="J95" t="s">
        <v>48</v>
      </c>
      <c r="K95" t="s">
        <v>49</v>
      </c>
      <c r="L95" t="s">
        <v>50</v>
      </c>
      <c r="M95" t="s">
        <v>53</v>
      </c>
      <c r="N95" s="4" t="str">
        <f t="shared" si="6"/>
        <v>High</v>
      </c>
      <c r="O95" s="4">
        <f>IF(Table13[[#This Row],[Phone distraction text]]="High",1,0)</f>
        <v>1</v>
      </c>
      <c r="P95" s="2">
        <v>5</v>
      </c>
      <c r="Q95" t="s">
        <v>51</v>
      </c>
      <c r="R95" s="4">
        <f t="shared" si="7"/>
        <v>1</v>
      </c>
      <c r="S95" t="s">
        <v>121</v>
      </c>
      <c r="T95" t="s">
        <v>53</v>
      </c>
      <c r="U95" t="s">
        <v>122</v>
      </c>
      <c r="V95" t="s">
        <v>183</v>
      </c>
      <c r="X95" t="s">
        <v>78</v>
      </c>
      <c r="Y95" t="s">
        <v>78</v>
      </c>
      <c r="Z95" t="s">
        <v>334</v>
      </c>
      <c r="AA95" s="2">
        <v>3</v>
      </c>
      <c r="AB95" t="s">
        <v>113</v>
      </c>
      <c r="AC95" t="s">
        <v>82</v>
      </c>
      <c r="AD95" t="s">
        <v>118</v>
      </c>
      <c r="AE95" t="s">
        <v>50</v>
      </c>
      <c r="AF95" t="s">
        <v>61</v>
      </c>
      <c r="AG95" t="s">
        <v>66</v>
      </c>
      <c r="AH95" t="s">
        <v>66</v>
      </c>
      <c r="AI95" t="s">
        <v>64</v>
      </c>
      <c r="AJ95" t="s">
        <v>64</v>
      </c>
      <c r="AK95" t="s">
        <v>65</v>
      </c>
      <c r="AL95" t="s">
        <v>65</v>
      </c>
    </row>
    <row r="96" spans="1:38">
      <c r="A96">
        <v>103</v>
      </c>
      <c r="B96" t="s">
        <v>124</v>
      </c>
      <c r="C96" t="s">
        <v>86</v>
      </c>
      <c r="D96" t="s">
        <v>276</v>
      </c>
      <c r="E96" t="s">
        <v>68</v>
      </c>
      <c r="F96" t="s">
        <v>69</v>
      </c>
      <c r="G96" s="2">
        <v>3.7</v>
      </c>
      <c r="H96" s="2">
        <v>17</v>
      </c>
      <c r="I96" t="s">
        <v>72</v>
      </c>
      <c r="J96" t="s">
        <v>48</v>
      </c>
      <c r="K96" t="s">
        <v>148</v>
      </c>
      <c r="L96" t="s">
        <v>50</v>
      </c>
      <c r="M96" t="s">
        <v>103</v>
      </c>
      <c r="N96" s="4" t="str">
        <f t="shared" si="6"/>
        <v>Not high</v>
      </c>
      <c r="O96" s="4">
        <f>IF(Table13[[#This Row],[Phone distraction text]]="High",1,0)</f>
        <v>0</v>
      </c>
      <c r="P96" s="2">
        <v>11</v>
      </c>
      <c r="Q96" t="s">
        <v>104</v>
      </c>
      <c r="R96" s="4">
        <f t="shared" si="7"/>
        <v>0</v>
      </c>
      <c r="S96" t="s">
        <v>92</v>
      </c>
      <c r="T96" t="s">
        <v>50</v>
      </c>
      <c r="U96" t="s">
        <v>76</v>
      </c>
      <c r="V96" t="s">
        <v>335</v>
      </c>
      <c r="X96" t="s">
        <v>56</v>
      </c>
      <c r="Y96" t="s">
        <v>78</v>
      </c>
      <c r="Z96" t="s">
        <v>58</v>
      </c>
      <c r="AA96" s="2">
        <v>4</v>
      </c>
      <c r="AB96" t="s">
        <v>113</v>
      </c>
      <c r="AC96" t="s">
        <v>82</v>
      </c>
      <c r="AD96" t="s">
        <v>107</v>
      </c>
      <c r="AE96" t="s">
        <v>50</v>
      </c>
      <c r="AF96" t="s">
        <v>83</v>
      </c>
      <c r="AG96" t="s">
        <v>64</v>
      </c>
      <c r="AH96" t="s">
        <v>64</v>
      </c>
      <c r="AI96" t="s">
        <v>66</v>
      </c>
      <c r="AJ96" t="s">
        <v>66</v>
      </c>
      <c r="AK96" t="s">
        <v>66</v>
      </c>
      <c r="AL96" t="s">
        <v>65</v>
      </c>
    </row>
    <row r="97" spans="1:38">
      <c r="A97">
        <v>104</v>
      </c>
      <c r="B97" t="s">
        <v>40</v>
      </c>
      <c r="C97" t="s">
        <v>132</v>
      </c>
      <c r="D97" t="s">
        <v>336</v>
      </c>
      <c r="E97" t="s">
        <v>68</v>
      </c>
      <c r="F97" t="s">
        <v>101</v>
      </c>
      <c r="G97" s="2">
        <v>3.5</v>
      </c>
      <c r="H97" s="2">
        <v>5</v>
      </c>
      <c r="I97" t="s">
        <v>47</v>
      </c>
      <c r="J97" t="s">
        <v>90</v>
      </c>
      <c r="K97" t="s">
        <v>49</v>
      </c>
      <c r="L97" t="s">
        <v>103</v>
      </c>
      <c r="M97" t="s">
        <v>50</v>
      </c>
      <c r="N97" s="4" t="str">
        <f t="shared" si="6"/>
        <v>Not high</v>
      </c>
      <c r="O97" s="4">
        <f>IF(Table13[[#This Row],[Phone distraction text]]="High",1,0)</f>
        <v>0</v>
      </c>
      <c r="P97" s="2">
        <v>2</v>
      </c>
      <c r="Q97" t="s">
        <v>104</v>
      </c>
      <c r="R97" s="4">
        <f t="shared" si="7"/>
        <v>0</v>
      </c>
      <c r="S97" t="s">
        <v>92</v>
      </c>
      <c r="T97" t="s">
        <v>93</v>
      </c>
      <c r="U97" t="s">
        <v>76</v>
      </c>
      <c r="V97" t="s">
        <v>317</v>
      </c>
      <c r="X97" t="s">
        <v>56</v>
      </c>
      <c r="Y97" t="s">
        <v>78</v>
      </c>
      <c r="Z97" t="s">
        <v>95</v>
      </c>
      <c r="AA97" s="2">
        <v>3</v>
      </c>
      <c r="AB97" t="s">
        <v>113</v>
      </c>
      <c r="AC97" t="s">
        <v>61</v>
      </c>
      <c r="AD97" t="s">
        <v>173</v>
      </c>
      <c r="AE97" t="s">
        <v>53</v>
      </c>
      <c r="AF97" t="s">
        <v>61</v>
      </c>
      <c r="AG97" t="s">
        <v>193</v>
      </c>
      <c r="AH97" t="s">
        <v>65</v>
      </c>
      <c r="AI97" t="s">
        <v>64</v>
      </c>
      <c r="AJ97" t="s">
        <v>84</v>
      </c>
      <c r="AK97" t="s">
        <v>193</v>
      </c>
      <c r="AL97" t="s">
        <v>64</v>
      </c>
    </row>
    <row r="98" spans="1:38">
      <c r="A98">
        <v>105</v>
      </c>
      <c r="B98" t="s">
        <v>85</v>
      </c>
      <c r="C98" t="s">
        <v>264</v>
      </c>
      <c r="D98" t="s">
        <v>338</v>
      </c>
      <c r="E98" t="s">
        <v>68</v>
      </c>
      <c r="F98" t="s">
        <v>198</v>
      </c>
      <c r="G98" s="2">
        <v>2.6</v>
      </c>
      <c r="H98" s="2">
        <v>16</v>
      </c>
      <c r="I98" t="s">
        <v>72</v>
      </c>
      <c r="J98" t="s">
        <v>135</v>
      </c>
      <c r="K98" t="s">
        <v>167</v>
      </c>
      <c r="L98" t="s">
        <v>50</v>
      </c>
      <c r="M98" t="s">
        <v>63</v>
      </c>
      <c r="N98" s="4" t="str">
        <f t="shared" si="6"/>
        <v>High</v>
      </c>
      <c r="O98" s="4">
        <f>IF(Table13[[#This Row],[Phone distraction text]]="High",1,0)</f>
        <v>1</v>
      </c>
      <c r="P98" s="2">
        <v>11</v>
      </c>
      <c r="Q98" t="s">
        <v>74</v>
      </c>
      <c r="R98" s="4">
        <f t="shared" si="7"/>
        <v>1</v>
      </c>
      <c r="S98" t="s">
        <v>121</v>
      </c>
      <c r="T98" t="s">
        <v>50</v>
      </c>
      <c r="U98" t="s">
        <v>54</v>
      </c>
      <c r="V98" t="s">
        <v>433</v>
      </c>
      <c r="X98" t="s">
        <v>57</v>
      </c>
      <c r="Y98" t="s">
        <v>78</v>
      </c>
      <c r="Z98" t="s">
        <v>112</v>
      </c>
      <c r="AA98" s="2">
        <v>3</v>
      </c>
      <c r="AB98" t="s">
        <v>202</v>
      </c>
      <c r="AC98" t="s">
        <v>82</v>
      </c>
      <c r="AD98" t="s">
        <v>97</v>
      </c>
      <c r="AE98" t="s">
        <v>93</v>
      </c>
      <c r="AF98" t="s">
        <v>279</v>
      </c>
      <c r="AG98" t="s">
        <v>66</v>
      </c>
      <c r="AH98" t="s">
        <v>193</v>
      </c>
      <c r="AI98" t="s">
        <v>193</v>
      </c>
      <c r="AJ98" t="s">
        <v>193</v>
      </c>
      <c r="AK98" t="s">
        <v>84</v>
      </c>
      <c r="AL98" t="s">
        <v>65</v>
      </c>
    </row>
    <row r="99" spans="1:38">
      <c r="A99">
        <v>106</v>
      </c>
      <c r="B99" t="s">
        <v>40</v>
      </c>
      <c r="C99" t="s">
        <v>132</v>
      </c>
      <c r="D99" t="s">
        <v>341</v>
      </c>
      <c r="E99" t="s">
        <v>43</v>
      </c>
      <c r="F99" t="s">
        <v>342</v>
      </c>
      <c r="G99" s="2">
        <v>3</v>
      </c>
      <c r="H99" s="2">
        <v>6</v>
      </c>
      <c r="I99" t="s">
        <v>189</v>
      </c>
      <c r="J99" t="s">
        <v>90</v>
      </c>
      <c r="K99" t="s">
        <v>138</v>
      </c>
      <c r="L99" t="s">
        <v>103</v>
      </c>
      <c r="M99" t="s">
        <v>63</v>
      </c>
      <c r="N99" s="4" t="str">
        <f t="shared" si="6"/>
        <v>High</v>
      </c>
      <c r="O99" s="4">
        <f>IF(Table13[[#This Row],[Phone distraction text]]="High",1,0)</f>
        <v>1</v>
      </c>
      <c r="P99" s="2">
        <v>19</v>
      </c>
      <c r="Q99" t="s">
        <v>74</v>
      </c>
      <c r="R99" s="4">
        <f t="shared" si="7"/>
        <v>1</v>
      </c>
      <c r="S99" t="s">
        <v>52</v>
      </c>
      <c r="T99" t="s">
        <v>93</v>
      </c>
      <c r="U99" t="s">
        <v>54</v>
      </c>
      <c r="V99" t="s">
        <v>433</v>
      </c>
      <c r="X99" t="s">
        <v>56</v>
      </c>
      <c r="Y99" t="s">
        <v>56</v>
      </c>
      <c r="Z99" t="s">
        <v>58</v>
      </c>
      <c r="AA99" s="2">
        <v>4</v>
      </c>
      <c r="AB99" t="s">
        <v>96</v>
      </c>
      <c r="AC99" t="s">
        <v>61</v>
      </c>
      <c r="AD99" t="s">
        <v>118</v>
      </c>
      <c r="AE99" t="s">
        <v>93</v>
      </c>
      <c r="AF99" t="s">
        <v>128</v>
      </c>
      <c r="AG99" t="s">
        <v>84</v>
      </c>
      <c r="AH99" t="s">
        <v>64</v>
      </c>
      <c r="AI99" t="s">
        <v>84</v>
      </c>
      <c r="AJ99" t="s">
        <v>64</v>
      </c>
      <c r="AK99" t="s">
        <v>84</v>
      </c>
      <c r="AL99" t="s">
        <v>66</v>
      </c>
    </row>
    <row r="100" spans="1:38">
      <c r="A100">
        <v>107</v>
      </c>
      <c r="B100" t="s">
        <v>272</v>
      </c>
      <c r="C100" t="s">
        <v>264</v>
      </c>
      <c r="D100" t="s">
        <v>338</v>
      </c>
      <c r="E100" t="s">
        <v>68</v>
      </c>
      <c r="F100" t="s">
        <v>44</v>
      </c>
      <c r="G100" s="2">
        <v>2.9</v>
      </c>
      <c r="H100" s="2">
        <v>14</v>
      </c>
      <c r="I100" t="s">
        <v>110</v>
      </c>
      <c r="J100" t="s">
        <v>73</v>
      </c>
      <c r="K100" t="s">
        <v>167</v>
      </c>
      <c r="L100" t="s">
        <v>63</v>
      </c>
      <c r="M100" t="s">
        <v>93</v>
      </c>
      <c r="N100" s="4" t="str">
        <f t="shared" si="6"/>
        <v>Not high</v>
      </c>
      <c r="O100" s="4">
        <f>IF(Table13[[#This Row],[Phone distraction text]]="High",1,0)</f>
        <v>0</v>
      </c>
      <c r="P100" s="2">
        <v>2</v>
      </c>
      <c r="Q100" t="s">
        <v>74</v>
      </c>
      <c r="R100" s="4">
        <f t="shared" si="7"/>
        <v>1</v>
      </c>
      <c r="S100" t="s">
        <v>52</v>
      </c>
      <c r="T100" t="s">
        <v>50</v>
      </c>
      <c r="U100" t="s">
        <v>105</v>
      </c>
      <c r="V100" t="s">
        <v>345</v>
      </c>
      <c r="X100" t="s">
        <v>57</v>
      </c>
      <c r="Y100" t="s">
        <v>57</v>
      </c>
      <c r="Z100" t="s">
        <v>151</v>
      </c>
      <c r="AA100" s="2">
        <v>5</v>
      </c>
      <c r="AB100" t="s">
        <v>113</v>
      </c>
      <c r="AC100" t="s">
        <v>61</v>
      </c>
      <c r="AD100" t="s">
        <v>62</v>
      </c>
      <c r="AE100" t="s">
        <v>103</v>
      </c>
      <c r="AF100" t="s">
        <v>128</v>
      </c>
      <c r="AG100" t="s">
        <v>193</v>
      </c>
      <c r="AH100" t="s">
        <v>66</v>
      </c>
      <c r="AI100" t="s">
        <v>84</v>
      </c>
      <c r="AJ100" t="s">
        <v>65</v>
      </c>
      <c r="AK100" t="s">
        <v>84</v>
      </c>
      <c r="AL100" t="s">
        <v>66</v>
      </c>
    </row>
    <row r="101" spans="1:38">
      <c r="A101">
        <v>108</v>
      </c>
      <c r="B101" t="s">
        <v>85</v>
      </c>
      <c r="C101" t="s">
        <v>318</v>
      </c>
      <c r="D101" t="s">
        <v>346</v>
      </c>
      <c r="E101" t="s">
        <v>43</v>
      </c>
      <c r="F101" t="s">
        <v>198</v>
      </c>
      <c r="G101" s="2">
        <v>3.4</v>
      </c>
      <c r="H101" s="2">
        <v>10</v>
      </c>
      <c r="I101" t="s">
        <v>189</v>
      </c>
      <c r="J101" t="s">
        <v>90</v>
      </c>
      <c r="K101" t="s">
        <v>49</v>
      </c>
      <c r="L101" t="s">
        <v>53</v>
      </c>
      <c r="M101" t="s">
        <v>93</v>
      </c>
      <c r="N101" s="4" t="str">
        <f t="shared" si="6"/>
        <v>Not high</v>
      </c>
      <c r="O101" s="4">
        <f>IF(Table13[[#This Row],[Phone distraction text]]="High",1,0)</f>
        <v>0</v>
      </c>
      <c r="P101" s="2">
        <v>19</v>
      </c>
      <c r="Q101" t="s">
        <v>91</v>
      </c>
      <c r="R101" s="4">
        <f t="shared" si="7"/>
        <v>0</v>
      </c>
      <c r="S101" t="s">
        <v>75</v>
      </c>
      <c r="T101" t="s">
        <v>103</v>
      </c>
      <c r="U101" t="s">
        <v>116</v>
      </c>
      <c r="V101" t="s">
        <v>365</v>
      </c>
      <c r="X101" t="s">
        <v>56</v>
      </c>
      <c r="Y101" t="s">
        <v>78</v>
      </c>
      <c r="Z101" t="s">
        <v>58</v>
      </c>
      <c r="AA101" s="2">
        <v>2</v>
      </c>
      <c r="AB101" t="s">
        <v>202</v>
      </c>
      <c r="AC101" t="s">
        <v>82</v>
      </c>
      <c r="AD101" t="s">
        <v>107</v>
      </c>
      <c r="AE101" t="s">
        <v>53</v>
      </c>
      <c r="AF101" t="s">
        <v>279</v>
      </c>
      <c r="AG101" t="s">
        <v>193</v>
      </c>
      <c r="AH101" t="s">
        <v>193</v>
      </c>
      <c r="AI101" t="s">
        <v>193</v>
      </c>
      <c r="AJ101" t="s">
        <v>84</v>
      </c>
      <c r="AK101" t="s">
        <v>66</v>
      </c>
      <c r="AL101" t="s">
        <v>64</v>
      </c>
    </row>
    <row r="102" spans="1:38">
      <c r="A102">
        <v>109</v>
      </c>
      <c r="B102" t="s">
        <v>124</v>
      </c>
      <c r="C102" t="s">
        <v>315</v>
      </c>
      <c r="D102" t="s">
        <v>348</v>
      </c>
      <c r="E102" t="s">
        <v>68</v>
      </c>
      <c r="F102" t="s">
        <v>349</v>
      </c>
      <c r="G102" s="2">
        <v>3</v>
      </c>
      <c r="H102" s="2">
        <v>5</v>
      </c>
      <c r="I102" t="s">
        <v>72</v>
      </c>
      <c r="J102" t="s">
        <v>73</v>
      </c>
      <c r="K102" t="s">
        <v>148</v>
      </c>
      <c r="L102" t="s">
        <v>53</v>
      </c>
      <c r="M102" t="s">
        <v>53</v>
      </c>
      <c r="N102" s="4" t="str">
        <f t="shared" si="6"/>
        <v>High</v>
      </c>
      <c r="O102" s="4">
        <f>IF(Table13[[#This Row],[Phone distraction text]]="High",1,0)</f>
        <v>1</v>
      </c>
      <c r="P102" s="2">
        <v>19</v>
      </c>
      <c r="Q102" t="s">
        <v>74</v>
      </c>
      <c r="R102" s="4">
        <f t="shared" si="7"/>
        <v>1</v>
      </c>
      <c r="S102" t="s">
        <v>75</v>
      </c>
      <c r="T102" t="s">
        <v>53</v>
      </c>
      <c r="U102" t="s">
        <v>54</v>
      </c>
      <c r="V102" t="s">
        <v>365</v>
      </c>
      <c r="X102" t="s">
        <v>56</v>
      </c>
      <c r="Y102" t="s">
        <v>78</v>
      </c>
      <c r="Z102" t="s">
        <v>58</v>
      </c>
      <c r="AA102" s="2">
        <v>3</v>
      </c>
      <c r="AB102" t="s">
        <v>113</v>
      </c>
      <c r="AC102" t="s">
        <v>61</v>
      </c>
      <c r="AD102" t="s">
        <v>97</v>
      </c>
      <c r="AE102" t="s">
        <v>50</v>
      </c>
      <c r="AF102" t="s">
        <v>178</v>
      </c>
      <c r="AG102" t="s">
        <v>66</v>
      </c>
      <c r="AH102" t="s">
        <v>66</v>
      </c>
      <c r="AI102" t="s">
        <v>65</v>
      </c>
      <c r="AJ102" t="s">
        <v>64</v>
      </c>
      <c r="AK102" t="s">
        <v>193</v>
      </c>
      <c r="AL102" t="s">
        <v>84</v>
      </c>
    </row>
    <row r="103" spans="1:38">
      <c r="A103">
        <v>110</v>
      </c>
      <c r="B103" t="s">
        <v>272</v>
      </c>
      <c r="C103" t="s">
        <v>99</v>
      </c>
      <c r="D103" t="s">
        <v>351</v>
      </c>
      <c r="E103" t="s">
        <v>43</v>
      </c>
      <c r="F103" t="s">
        <v>349</v>
      </c>
      <c r="G103" s="2">
        <v>3.7</v>
      </c>
      <c r="H103" s="2">
        <v>12</v>
      </c>
      <c r="I103" t="s">
        <v>189</v>
      </c>
      <c r="J103" t="s">
        <v>243</v>
      </c>
      <c r="K103" t="s">
        <v>167</v>
      </c>
      <c r="L103" t="s">
        <v>103</v>
      </c>
      <c r="M103" t="s">
        <v>50</v>
      </c>
      <c r="N103" s="4" t="str">
        <f t="shared" si="6"/>
        <v>Not high</v>
      </c>
      <c r="O103" s="4">
        <f>IF(Table13[[#This Row],[Phone distraction text]]="High",1,0)</f>
        <v>0</v>
      </c>
      <c r="P103" s="2">
        <v>13</v>
      </c>
      <c r="Q103" t="s">
        <v>104</v>
      </c>
      <c r="R103" s="4">
        <f t="shared" si="7"/>
        <v>0</v>
      </c>
      <c r="S103" t="s">
        <v>92</v>
      </c>
      <c r="T103" t="s">
        <v>53</v>
      </c>
      <c r="U103" t="s">
        <v>76</v>
      </c>
      <c r="V103" t="s">
        <v>266</v>
      </c>
      <c r="X103" t="s">
        <v>57</v>
      </c>
      <c r="Y103" t="s">
        <v>78</v>
      </c>
      <c r="Z103" t="s">
        <v>112</v>
      </c>
      <c r="AA103" s="2">
        <v>5</v>
      </c>
      <c r="AB103" t="s">
        <v>113</v>
      </c>
      <c r="AC103" t="s">
        <v>128</v>
      </c>
      <c r="AD103" t="s">
        <v>165</v>
      </c>
      <c r="AE103" t="s">
        <v>63</v>
      </c>
      <c r="AF103" t="s">
        <v>83</v>
      </c>
      <c r="AG103" t="s">
        <v>64</v>
      </c>
      <c r="AH103" t="s">
        <v>64</v>
      </c>
      <c r="AI103" t="s">
        <v>66</v>
      </c>
      <c r="AJ103" t="s">
        <v>193</v>
      </c>
      <c r="AK103" t="s">
        <v>84</v>
      </c>
      <c r="AL103" t="s">
        <v>193</v>
      </c>
    </row>
    <row r="104" spans="1:38">
      <c r="A104">
        <v>111</v>
      </c>
      <c r="B104" t="s">
        <v>98</v>
      </c>
      <c r="C104" t="s">
        <v>353</v>
      </c>
      <c r="D104" t="s">
        <v>354</v>
      </c>
      <c r="E104" t="s">
        <v>43</v>
      </c>
      <c r="F104" t="s">
        <v>69</v>
      </c>
      <c r="G104" s="2">
        <v>3.5</v>
      </c>
      <c r="H104" s="2">
        <v>7</v>
      </c>
      <c r="I104" t="s">
        <v>89</v>
      </c>
      <c r="J104" t="s">
        <v>243</v>
      </c>
      <c r="K104" t="s">
        <v>148</v>
      </c>
      <c r="L104" t="s">
        <v>53</v>
      </c>
      <c r="M104" t="s">
        <v>103</v>
      </c>
      <c r="N104" s="4" t="str">
        <f t="shared" si="6"/>
        <v>Not high</v>
      </c>
      <c r="O104" s="4">
        <f>IF(Table13[[#This Row],[Phone distraction text]]="High",1,0)</f>
        <v>0</v>
      </c>
      <c r="P104" s="2">
        <v>5</v>
      </c>
      <c r="Q104" t="s">
        <v>91</v>
      </c>
      <c r="R104" s="4">
        <f t="shared" si="7"/>
        <v>0</v>
      </c>
      <c r="S104" t="s">
        <v>75</v>
      </c>
      <c r="T104" t="s">
        <v>93</v>
      </c>
      <c r="U104" t="s">
        <v>116</v>
      </c>
      <c r="V104" t="s">
        <v>171</v>
      </c>
      <c r="X104" t="s">
        <v>78</v>
      </c>
      <c r="Y104" t="s">
        <v>56</v>
      </c>
      <c r="Z104" t="s">
        <v>95</v>
      </c>
      <c r="AA104" s="2">
        <v>3</v>
      </c>
      <c r="AB104" t="s">
        <v>96</v>
      </c>
      <c r="AC104" t="s">
        <v>61</v>
      </c>
      <c r="AD104" t="s">
        <v>173</v>
      </c>
      <c r="AE104" t="s">
        <v>50</v>
      </c>
      <c r="AF104" t="s">
        <v>61</v>
      </c>
      <c r="AG104" t="s">
        <v>66</v>
      </c>
      <c r="AH104" t="s">
        <v>66</v>
      </c>
      <c r="AI104" t="s">
        <v>64</v>
      </c>
      <c r="AJ104" t="s">
        <v>193</v>
      </c>
      <c r="AK104" t="s">
        <v>193</v>
      </c>
      <c r="AL104" t="s">
        <v>84</v>
      </c>
    </row>
    <row r="105" spans="1:38">
      <c r="A105">
        <v>112</v>
      </c>
      <c r="B105" t="s">
        <v>272</v>
      </c>
      <c r="C105" t="s">
        <v>318</v>
      </c>
      <c r="D105" t="s">
        <v>346</v>
      </c>
      <c r="E105" t="s">
        <v>68</v>
      </c>
      <c r="F105" t="s">
        <v>198</v>
      </c>
      <c r="G105" s="2">
        <v>2.4</v>
      </c>
      <c r="H105" s="2">
        <v>2</v>
      </c>
      <c r="I105" t="s">
        <v>189</v>
      </c>
      <c r="J105" t="s">
        <v>243</v>
      </c>
      <c r="K105" t="s">
        <v>138</v>
      </c>
      <c r="L105" t="s">
        <v>93</v>
      </c>
      <c r="M105" t="s">
        <v>63</v>
      </c>
      <c r="N105" s="4" t="str">
        <f t="shared" si="6"/>
        <v>High</v>
      </c>
      <c r="O105" s="4">
        <f>IF(Table13[[#This Row],[Phone distraction text]]="High",1,0)</f>
        <v>1</v>
      </c>
      <c r="P105" s="2">
        <v>17</v>
      </c>
      <c r="Q105" t="s">
        <v>51</v>
      </c>
      <c r="R105" s="4">
        <f t="shared" si="7"/>
        <v>1</v>
      </c>
      <c r="S105" t="s">
        <v>52</v>
      </c>
      <c r="T105" t="s">
        <v>50</v>
      </c>
      <c r="U105" t="s">
        <v>122</v>
      </c>
      <c r="V105" t="s">
        <v>344</v>
      </c>
      <c r="X105" t="s">
        <v>57</v>
      </c>
      <c r="Y105" t="s">
        <v>78</v>
      </c>
      <c r="Z105" t="s">
        <v>229</v>
      </c>
      <c r="AA105" s="2">
        <v>2</v>
      </c>
      <c r="AB105" t="s">
        <v>60</v>
      </c>
      <c r="AC105" t="s">
        <v>82</v>
      </c>
      <c r="AD105" t="s">
        <v>173</v>
      </c>
      <c r="AE105" t="s">
        <v>103</v>
      </c>
      <c r="AF105" t="s">
        <v>178</v>
      </c>
      <c r="AG105" t="s">
        <v>64</v>
      </c>
      <c r="AH105" t="s">
        <v>193</v>
      </c>
      <c r="AI105" t="s">
        <v>193</v>
      </c>
      <c r="AJ105" t="s">
        <v>193</v>
      </c>
      <c r="AK105" t="s">
        <v>64</v>
      </c>
      <c r="AL105" t="s">
        <v>66</v>
      </c>
    </row>
    <row r="106" spans="1:38">
      <c r="A106">
        <v>113</v>
      </c>
      <c r="B106" t="s">
        <v>85</v>
      </c>
      <c r="C106" t="s">
        <v>358</v>
      </c>
      <c r="D106" t="s">
        <v>359</v>
      </c>
      <c r="E106" t="s">
        <v>43</v>
      </c>
      <c r="F106" t="s">
        <v>69</v>
      </c>
      <c r="G106" s="2">
        <v>3.3</v>
      </c>
      <c r="H106" s="2">
        <v>4</v>
      </c>
      <c r="I106" t="s">
        <v>110</v>
      </c>
      <c r="J106" t="s">
        <v>73</v>
      </c>
      <c r="K106" t="s">
        <v>167</v>
      </c>
      <c r="L106" t="s">
        <v>63</v>
      </c>
      <c r="M106" t="s">
        <v>63</v>
      </c>
      <c r="N106" s="4" t="str">
        <f t="shared" si="6"/>
        <v>High</v>
      </c>
      <c r="O106" s="4">
        <f>IF(Table13[[#This Row],[Phone distraction text]]="High",1,0)</f>
        <v>1</v>
      </c>
      <c r="P106" s="2">
        <v>6</v>
      </c>
      <c r="Q106" t="s">
        <v>91</v>
      </c>
      <c r="R106" s="4">
        <f t="shared" si="7"/>
        <v>0</v>
      </c>
      <c r="S106" t="s">
        <v>121</v>
      </c>
      <c r="T106" t="s">
        <v>53</v>
      </c>
      <c r="U106" t="s">
        <v>116</v>
      </c>
      <c r="V106" t="s">
        <v>365</v>
      </c>
      <c r="X106" t="s">
        <v>57</v>
      </c>
      <c r="Y106" t="s">
        <v>56</v>
      </c>
      <c r="Z106" t="s">
        <v>79</v>
      </c>
      <c r="AA106" s="2">
        <v>4</v>
      </c>
      <c r="AB106" t="s">
        <v>202</v>
      </c>
      <c r="AC106" t="s">
        <v>61</v>
      </c>
      <c r="AD106" t="s">
        <v>118</v>
      </c>
      <c r="AE106" t="s">
        <v>103</v>
      </c>
      <c r="AF106" t="s">
        <v>83</v>
      </c>
      <c r="AG106" t="s">
        <v>193</v>
      </c>
      <c r="AH106" t="s">
        <v>84</v>
      </c>
      <c r="AI106" t="s">
        <v>84</v>
      </c>
      <c r="AJ106" t="s">
        <v>66</v>
      </c>
      <c r="AK106" t="s">
        <v>66</v>
      </c>
      <c r="AL106" t="s">
        <v>84</v>
      </c>
    </row>
    <row r="107" spans="1:38">
      <c r="A107">
        <v>114</v>
      </c>
      <c r="B107" t="s">
        <v>124</v>
      </c>
      <c r="C107" t="s">
        <v>315</v>
      </c>
      <c r="D107" t="s">
        <v>360</v>
      </c>
      <c r="E107" t="s">
        <v>43</v>
      </c>
      <c r="F107" t="s">
        <v>44</v>
      </c>
      <c r="G107" s="2">
        <v>3</v>
      </c>
      <c r="H107" s="2">
        <v>14</v>
      </c>
      <c r="I107" t="s">
        <v>89</v>
      </c>
      <c r="J107" t="s">
        <v>135</v>
      </c>
      <c r="K107" t="s">
        <v>49</v>
      </c>
      <c r="L107" t="s">
        <v>103</v>
      </c>
      <c r="M107" t="s">
        <v>93</v>
      </c>
      <c r="N107" s="4" t="str">
        <f t="shared" si="6"/>
        <v>Not high</v>
      </c>
      <c r="O107" s="4">
        <f>IF(Table13[[#This Row],[Phone distraction text]]="High",1,0)</f>
        <v>0</v>
      </c>
      <c r="P107" s="2">
        <v>10</v>
      </c>
      <c r="Q107" t="s">
        <v>74</v>
      </c>
      <c r="R107" s="4">
        <f t="shared" si="7"/>
        <v>1</v>
      </c>
      <c r="S107" t="s">
        <v>52</v>
      </c>
      <c r="T107" t="s">
        <v>50</v>
      </c>
      <c r="U107" t="s">
        <v>105</v>
      </c>
      <c r="V107" t="s">
        <v>361</v>
      </c>
      <c r="X107" t="s">
        <v>57</v>
      </c>
      <c r="Y107" t="s">
        <v>78</v>
      </c>
      <c r="Z107" t="s">
        <v>112</v>
      </c>
      <c r="AA107" s="2">
        <v>5</v>
      </c>
      <c r="AB107" t="s">
        <v>96</v>
      </c>
      <c r="AC107" t="s">
        <v>128</v>
      </c>
      <c r="AD107" t="s">
        <v>97</v>
      </c>
      <c r="AE107" t="s">
        <v>93</v>
      </c>
      <c r="AF107" t="s">
        <v>83</v>
      </c>
      <c r="AG107" t="s">
        <v>193</v>
      </c>
      <c r="AH107" t="s">
        <v>84</v>
      </c>
      <c r="AI107" t="s">
        <v>65</v>
      </c>
      <c r="AJ107" t="s">
        <v>193</v>
      </c>
      <c r="AK107" t="s">
        <v>64</v>
      </c>
      <c r="AL107" t="s">
        <v>65</v>
      </c>
    </row>
    <row r="108" spans="1:38">
      <c r="A108">
        <v>115</v>
      </c>
      <c r="B108" t="s">
        <v>98</v>
      </c>
      <c r="C108" t="s">
        <v>264</v>
      </c>
      <c r="D108" t="s">
        <v>362</v>
      </c>
      <c r="E108" t="s">
        <v>68</v>
      </c>
      <c r="F108" t="s">
        <v>69</v>
      </c>
      <c r="G108" s="2">
        <v>3.7</v>
      </c>
      <c r="H108" s="2">
        <v>7</v>
      </c>
      <c r="I108" t="s">
        <v>47</v>
      </c>
      <c r="J108" t="s">
        <v>135</v>
      </c>
      <c r="K108" t="s">
        <v>49</v>
      </c>
      <c r="L108" t="s">
        <v>53</v>
      </c>
      <c r="M108" t="s">
        <v>50</v>
      </c>
      <c r="N108" s="4" t="str">
        <f t="shared" si="6"/>
        <v>Not high</v>
      </c>
      <c r="O108" s="4">
        <f>IF(Table13[[#This Row],[Phone distraction text]]="High",1,0)</f>
        <v>0</v>
      </c>
      <c r="P108" s="2">
        <v>3</v>
      </c>
      <c r="Q108" t="s">
        <v>104</v>
      </c>
      <c r="R108" s="4">
        <f t="shared" si="7"/>
        <v>0</v>
      </c>
      <c r="S108" t="s">
        <v>75</v>
      </c>
      <c r="T108" t="s">
        <v>50</v>
      </c>
      <c r="U108" t="s">
        <v>76</v>
      </c>
      <c r="V108" t="s">
        <v>363</v>
      </c>
      <c r="X108" t="s">
        <v>78</v>
      </c>
      <c r="Y108" t="s">
        <v>56</v>
      </c>
      <c r="Z108" t="s">
        <v>95</v>
      </c>
      <c r="AA108" s="2">
        <v>3</v>
      </c>
      <c r="AB108" t="s">
        <v>113</v>
      </c>
      <c r="AC108" t="s">
        <v>61</v>
      </c>
      <c r="AD108" t="s">
        <v>62</v>
      </c>
      <c r="AE108" t="s">
        <v>50</v>
      </c>
      <c r="AF108" t="s">
        <v>83</v>
      </c>
      <c r="AG108" t="s">
        <v>64</v>
      </c>
      <c r="AH108" t="s">
        <v>64</v>
      </c>
      <c r="AI108" t="s">
        <v>66</v>
      </c>
      <c r="AJ108" t="s">
        <v>193</v>
      </c>
      <c r="AK108" t="s">
        <v>84</v>
      </c>
      <c r="AL108" t="s">
        <v>65</v>
      </c>
    </row>
    <row r="109" spans="1:38">
      <c r="A109">
        <v>116</v>
      </c>
      <c r="B109" t="s">
        <v>85</v>
      </c>
      <c r="C109" t="s">
        <v>41</v>
      </c>
      <c r="D109" t="s">
        <v>364</v>
      </c>
      <c r="E109" t="s">
        <v>68</v>
      </c>
      <c r="F109" t="s">
        <v>101</v>
      </c>
      <c r="G109" s="2">
        <v>3.2</v>
      </c>
      <c r="H109" s="2">
        <v>9</v>
      </c>
      <c r="I109" t="s">
        <v>189</v>
      </c>
      <c r="J109" t="s">
        <v>48</v>
      </c>
      <c r="K109" t="s">
        <v>148</v>
      </c>
      <c r="L109" t="s">
        <v>50</v>
      </c>
      <c r="M109" t="s">
        <v>53</v>
      </c>
      <c r="N109" s="4" t="str">
        <f t="shared" si="6"/>
        <v>High</v>
      </c>
      <c r="O109" s="4">
        <f>IF(Table13[[#This Row],[Phone distraction text]]="High",1,0)</f>
        <v>1</v>
      </c>
      <c r="P109" s="2">
        <v>12</v>
      </c>
      <c r="Q109" t="s">
        <v>74</v>
      </c>
      <c r="R109" s="4">
        <f t="shared" si="7"/>
        <v>1</v>
      </c>
      <c r="S109" t="s">
        <v>52</v>
      </c>
      <c r="T109" t="s">
        <v>53</v>
      </c>
      <c r="U109" t="s">
        <v>54</v>
      </c>
      <c r="V109" t="s">
        <v>365</v>
      </c>
      <c r="X109" t="s">
        <v>56</v>
      </c>
      <c r="Y109" t="s">
        <v>56</v>
      </c>
      <c r="Z109" t="s">
        <v>177</v>
      </c>
      <c r="AA109" s="2">
        <v>3</v>
      </c>
      <c r="AB109" t="s">
        <v>113</v>
      </c>
      <c r="AC109" t="s">
        <v>61</v>
      </c>
      <c r="AD109" t="s">
        <v>118</v>
      </c>
      <c r="AE109" t="s">
        <v>53</v>
      </c>
      <c r="AF109" t="s">
        <v>61</v>
      </c>
      <c r="AG109" t="s">
        <v>193</v>
      </c>
      <c r="AH109" t="s">
        <v>84</v>
      </c>
      <c r="AI109" t="s">
        <v>84</v>
      </c>
      <c r="AJ109" t="s">
        <v>193</v>
      </c>
      <c r="AK109" t="s">
        <v>65</v>
      </c>
      <c r="AL109" t="s">
        <v>84</v>
      </c>
    </row>
    <row r="110" spans="1:38">
      <c r="A110">
        <v>117</v>
      </c>
      <c r="B110" t="s">
        <v>272</v>
      </c>
      <c r="C110" t="s">
        <v>86</v>
      </c>
      <c r="D110" t="s">
        <v>276</v>
      </c>
      <c r="E110" t="s">
        <v>43</v>
      </c>
      <c r="F110" t="s">
        <v>69</v>
      </c>
      <c r="G110" s="2">
        <v>3</v>
      </c>
      <c r="H110" s="2">
        <v>8</v>
      </c>
      <c r="I110" t="s">
        <v>47</v>
      </c>
      <c r="J110" t="s">
        <v>135</v>
      </c>
      <c r="K110" t="s">
        <v>167</v>
      </c>
      <c r="L110" t="s">
        <v>50</v>
      </c>
      <c r="M110" t="s">
        <v>103</v>
      </c>
      <c r="N110" s="4" t="str">
        <f t="shared" si="6"/>
        <v>Not high</v>
      </c>
      <c r="O110" s="4">
        <f>IF(Table13[[#This Row],[Phone distraction text]]="High",1,0)</f>
        <v>0</v>
      </c>
      <c r="P110" s="2">
        <v>4</v>
      </c>
      <c r="Q110" t="s">
        <v>74</v>
      </c>
      <c r="R110" s="4">
        <f t="shared" si="7"/>
        <v>1</v>
      </c>
      <c r="S110" t="s">
        <v>92</v>
      </c>
      <c r="T110" t="s">
        <v>53</v>
      </c>
      <c r="U110" t="s">
        <v>105</v>
      </c>
      <c r="V110" t="s">
        <v>157</v>
      </c>
      <c r="X110" t="s">
        <v>56</v>
      </c>
      <c r="Y110" t="s">
        <v>78</v>
      </c>
      <c r="Z110" t="s">
        <v>291</v>
      </c>
      <c r="AA110" s="2">
        <v>4</v>
      </c>
      <c r="AB110" t="s">
        <v>81</v>
      </c>
      <c r="AC110" t="s">
        <v>82</v>
      </c>
      <c r="AD110" t="s">
        <v>62</v>
      </c>
      <c r="AE110" t="s">
        <v>63</v>
      </c>
      <c r="AF110" t="s">
        <v>83</v>
      </c>
      <c r="AG110" t="s">
        <v>64</v>
      </c>
      <c r="AH110" t="s">
        <v>66</v>
      </c>
      <c r="AI110" t="s">
        <v>66</v>
      </c>
      <c r="AJ110" t="s">
        <v>193</v>
      </c>
      <c r="AK110" t="s">
        <v>193</v>
      </c>
      <c r="AL110" t="s">
        <v>84</v>
      </c>
    </row>
    <row r="111" spans="1:38">
      <c r="A111">
        <v>118</v>
      </c>
      <c r="B111" t="s">
        <v>98</v>
      </c>
      <c r="C111" t="s">
        <v>99</v>
      </c>
      <c r="D111" t="s">
        <v>368</v>
      </c>
      <c r="E111" t="s">
        <v>43</v>
      </c>
      <c r="F111" t="s">
        <v>101</v>
      </c>
      <c r="G111" s="2">
        <v>3.4</v>
      </c>
      <c r="H111" s="2">
        <v>10</v>
      </c>
      <c r="I111" t="s">
        <v>189</v>
      </c>
      <c r="J111" t="s">
        <v>135</v>
      </c>
      <c r="K111" t="s">
        <v>167</v>
      </c>
      <c r="L111" t="s">
        <v>50</v>
      </c>
      <c r="M111" t="s">
        <v>50</v>
      </c>
      <c r="N111" s="4" t="str">
        <f t="shared" si="6"/>
        <v>Not high</v>
      </c>
      <c r="O111" s="4">
        <f>IF(Table13[[#This Row],[Phone distraction text]]="High",1,0)</f>
        <v>0</v>
      </c>
      <c r="P111" s="2">
        <v>10</v>
      </c>
      <c r="Q111" t="s">
        <v>154</v>
      </c>
      <c r="R111" s="4">
        <f t="shared" si="7"/>
        <v>1</v>
      </c>
      <c r="S111" t="s">
        <v>52</v>
      </c>
      <c r="T111" t="s">
        <v>53</v>
      </c>
      <c r="U111" t="s">
        <v>54</v>
      </c>
      <c r="V111" t="s">
        <v>160</v>
      </c>
      <c r="X111" t="s">
        <v>57</v>
      </c>
      <c r="Y111" t="s">
        <v>56</v>
      </c>
      <c r="Z111" t="s">
        <v>112</v>
      </c>
      <c r="AA111" s="2">
        <v>2</v>
      </c>
      <c r="AB111" t="s">
        <v>113</v>
      </c>
      <c r="AC111" t="s">
        <v>178</v>
      </c>
      <c r="AD111" t="s">
        <v>62</v>
      </c>
      <c r="AE111" t="s">
        <v>50</v>
      </c>
      <c r="AF111" t="s">
        <v>83</v>
      </c>
      <c r="AG111" t="s">
        <v>193</v>
      </c>
      <c r="AH111" t="s">
        <v>65</v>
      </c>
      <c r="AI111" t="s">
        <v>84</v>
      </c>
      <c r="AJ111" t="s">
        <v>64</v>
      </c>
      <c r="AK111" t="s">
        <v>193</v>
      </c>
      <c r="AL111" t="s">
        <v>65</v>
      </c>
    </row>
    <row r="112" spans="1:38">
      <c r="A112">
        <v>119</v>
      </c>
      <c r="B112" t="s">
        <v>85</v>
      </c>
      <c r="C112" t="s">
        <v>264</v>
      </c>
      <c r="D112" t="s">
        <v>370</v>
      </c>
      <c r="E112" t="s">
        <v>68</v>
      </c>
      <c r="F112" t="s">
        <v>44</v>
      </c>
      <c r="G112" s="2">
        <v>3.6</v>
      </c>
      <c r="H112" s="2">
        <v>5</v>
      </c>
      <c r="I112" t="s">
        <v>47</v>
      </c>
      <c r="J112" t="s">
        <v>135</v>
      </c>
      <c r="K112" t="s">
        <v>138</v>
      </c>
      <c r="L112" t="s">
        <v>50</v>
      </c>
      <c r="M112" t="s">
        <v>103</v>
      </c>
      <c r="N112" s="4" t="str">
        <f t="shared" si="6"/>
        <v>Not high</v>
      </c>
      <c r="O112" s="4">
        <f>IF(Table13[[#This Row],[Phone distraction text]]="High",1,0)</f>
        <v>0</v>
      </c>
      <c r="P112" s="2">
        <v>3</v>
      </c>
      <c r="Q112" t="s">
        <v>91</v>
      </c>
      <c r="R112" s="4">
        <f t="shared" si="7"/>
        <v>0</v>
      </c>
      <c r="S112" t="s">
        <v>92</v>
      </c>
      <c r="T112" t="s">
        <v>50</v>
      </c>
      <c r="U112" t="s">
        <v>76</v>
      </c>
      <c r="V112" t="s">
        <v>111</v>
      </c>
      <c r="X112" t="s">
        <v>78</v>
      </c>
      <c r="Y112" t="s">
        <v>56</v>
      </c>
      <c r="Z112" t="s">
        <v>177</v>
      </c>
      <c r="AA112" s="2">
        <v>4</v>
      </c>
      <c r="AB112" t="s">
        <v>60</v>
      </c>
      <c r="AC112" t="s">
        <v>61</v>
      </c>
      <c r="AD112" t="s">
        <v>62</v>
      </c>
      <c r="AE112" t="s">
        <v>63</v>
      </c>
      <c r="AF112" t="s">
        <v>61</v>
      </c>
      <c r="AG112" t="s">
        <v>64</v>
      </c>
      <c r="AH112" t="s">
        <v>64</v>
      </c>
      <c r="AI112" t="s">
        <v>193</v>
      </c>
      <c r="AJ112" t="s">
        <v>66</v>
      </c>
      <c r="AK112" t="s">
        <v>64</v>
      </c>
      <c r="AL112" t="s">
        <v>64</v>
      </c>
    </row>
    <row r="113" spans="1:38">
      <c r="A113">
        <v>120</v>
      </c>
      <c r="B113" t="s">
        <v>124</v>
      </c>
      <c r="C113" t="s">
        <v>41</v>
      </c>
      <c r="D113" t="s">
        <v>125</v>
      </c>
      <c r="E113" t="s">
        <v>43</v>
      </c>
      <c r="F113" t="s">
        <v>198</v>
      </c>
      <c r="G113" s="2">
        <v>3.6</v>
      </c>
      <c r="H113" s="2">
        <v>15</v>
      </c>
      <c r="I113" t="s">
        <v>89</v>
      </c>
      <c r="J113" t="s">
        <v>90</v>
      </c>
      <c r="K113" t="s">
        <v>49</v>
      </c>
      <c r="L113" t="s">
        <v>53</v>
      </c>
      <c r="M113" t="s">
        <v>50</v>
      </c>
      <c r="N113" s="4" t="str">
        <f t="shared" si="6"/>
        <v>Not high</v>
      </c>
      <c r="O113" s="4">
        <f>IF(Table13[[#This Row],[Phone distraction text]]="High",1,0)</f>
        <v>0</v>
      </c>
      <c r="P113" s="2">
        <v>5</v>
      </c>
      <c r="Q113" t="s">
        <v>91</v>
      </c>
      <c r="R113" s="4">
        <f t="shared" si="7"/>
        <v>0</v>
      </c>
      <c r="S113" t="s">
        <v>92</v>
      </c>
      <c r="T113" t="s">
        <v>53</v>
      </c>
      <c r="U113" t="s">
        <v>54</v>
      </c>
      <c r="V113" t="s">
        <v>176</v>
      </c>
      <c r="X113" t="s">
        <v>78</v>
      </c>
      <c r="Y113" t="s">
        <v>56</v>
      </c>
      <c r="Z113" t="s">
        <v>112</v>
      </c>
      <c r="AA113" s="2">
        <v>2</v>
      </c>
      <c r="AB113" t="s">
        <v>113</v>
      </c>
      <c r="AC113" t="s">
        <v>178</v>
      </c>
      <c r="AD113" t="s">
        <v>118</v>
      </c>
      <c r="AE113" t="s">
        <v>50</v>
      </c>
      <c r="AF113" t="s">
        <v>83</v>
      </c>
      <c r="AG113" t="s">
        <v>64</v>
      </c>
      <c r="AH113" t="s">
        <v>66</v>
      </c>
      <c r="AI113" t="s">
        <v>64</v>
      </c>
      <c r="AJ113" t="s">
        <v>64</v>
      </c>
      <c r="AK113" t="s">
        <v>64</v>
      </c>
      <c r="AL113" t="s">
        <v>65</v>
      </c>
    </row>
    <row r="114" spans="1:38">
      <c r="A114">
        <v>121</v>
      </c>
      <c r="B114" t="s">
        <v>272</v>
      </c>
      <c r="C114" t="s">
        <v>306</v>
      </c>
      <c r="D114" t="s">
        <v>372</v>
      </c>
      <c r="E114" t="s">
        <v>373</v>
      </c>
      <c r="F114" t="s">
        <v>101</v>
      </c>
      <c r="G114" s="2">
        <v>3</v>
      </c>
      <c r="H114" s="2">
        <v>8</v>
      </c>
      <c r="I114" t="s">
        <v>72</v>
      </c>
      <c r="J114" t="s">
        <v>135</v>
      </c>
      <c r="K114" t="s">
        <v>49</v>
      </c>
      <c r="L114" t="s">
        <v>50</v>
      </c>
      <c r="M114" t="s">
        <v>53</v>
      </c>
      <c r="N114" s="4" t="str">
        <f t="shared" si="6"/>
        <v>High</v>
      </c>
      <c r="O114" s="4">
        <f>IF(Table13[[#This Row],[Phone distraction text]]="High",1,0)</f>
        <v>1</v>
      </c>
      <c r="P114" s="2">
        <v>3</v>
      </c>
      <c r="Q114" t="s">
        <v>91</v>
      </c>
      <c r="R114" s="4">
        <f t="shared" si="7"/>
        <v>0</v>
      </c>
      <c r="S114" t="s">
        <v>92</v>
      </c>
      <c r="T114" t="s">
        <v>103</v>
      </c>
      <c r="U114" t="s">
        <v>105</v>
      </c>
      <c r="V114" t="s">
        <v>176</v>
      </c>
      <c r="X114" t="s">
        <v>56</v>
      </c>
      <c r="Y114" t="s">
        <v>56</v>
      </c>
      <c r="Z114" t="s">
        <v>334</v>
      </c>
      <c r="AA114" s="2">
        <v>3</v>
      </c>
      <c r="AB114" t="s">
        <v>113</v>
      </c>
      <c r="AC114" t="s">
        <v>61</v>
      </c>
      <c r="AD114" t="s">
        <v>118</v>
      </c>
      <c r="AE114" t="s">
        <v>63</v>
      </c>
      <c r="AF114" t="s">
        <v>61</v>
      </c>
      <c r="AG114" t="s">
        <v>65</v>
      </c>
      <c r="AH114" t="s">
        <v>64</v>
      </c>
      <c r="AI114" t="s">
        <v>65</v>
      </c>
      <c r="AJ114" t="s">
        <v>64</v>
      </c>
      <c r="AK114" t="s">
        <v>64</v>
      </c>
      <c r="AL114" t="s">
        <v>65</v>
      </c>
    </row>
    <row r="115" spans="1:38">
      <c r="A115">
        <v>122</v>
      </c>
      <c r="B115" t="s">
        <v>98</v>
      </c>
      <c r="C115" t="s">
        <v>318</v>
      </c>
      <c r="D115" t="s">
        <v>374</v>
      </c>
      <c r="E115" t="s">
        <v>43</v>
      </c>
      <c r="F115" t="s">
        <v>44</v>
      </c>
      <c r="G115" s="2">
        <v>3.5</v>
      </c>
      <c r="H115" s="2">
        <v>5</v>
      </c>
      <c r="I115" t="s">
        <v>72</v>
      </c>
      <c r="J115" t="s">
        <v>135</v>
      </c>
      <c r="K115" t="s">
        <v>167</v>
      </c>
      <c r="L115" t="s">
        <v>50</v>
      </c>
      <c r="M115" t="s">
        <v>103</v>
      </c>
      <c r="N115" s="4" t="str">
        <f t="shared" si="6"/>
        <v>Not high</v>
      </c>
      <c r="O115" s="4">
        <f>IF(Table13[[#This Row],[Phone distraction text]]="High",1,0)</f>
        <v>0</v>
      </c>
      <c r="P115" s="2">
        <v>6</v>
      </c>
      <c r="Q115" t="s">
        <v>51</v>
      </c>
      <c r="R115" s="4">
        <f t="shared" si="7"/>
        <v>1</v>
      </c>
      <c r="S115" t="s">
        <v>121</v>
      </c>
      <c r="T115" t="s">
        <v>50</v>
      </c>
      <c r="U115" t="s">
        <v>122</v>
      </c>
      <c r="V115" t="s">
        <v>111</v>
      </c>
      <c r="X115" t="s">
        <v>56</v>
      </c>
      <c r="Y115" t="s">
        <v>56</v>
      </c>
      <c r="Z115" t="s">
        <v>112</v>
      </c>
      <c r="AA115" s="2">
        <v>2</v>
      </c>
      <c r="AB115" t="s">
        <v>113</v>
      </c>
      <c r="AC115" t="s">
        <v>61</v>
      </c>
      <c r="AD115" t="s">
        <v>118</v>
      </c>
      <c r="AE115" t="s">
        <v>50</v>
      </c>
      <c r="AF115" t="s">
        <v>83</v>
      </c>
      <c r="AG115" t="s">
        <v>64</v>
      </c>
      <c r="AH115" t="s">
        <v>65</v>
      </c>
      <c r="AI115" t="s">
        <v>66</v>
      </c>
      <c r="AJ115" t="s">
        <v>65</v>
      </c>
      <c r="AK115" t="s">
        <v>66</v>
      </c>
      <c r="AL115" t="s">
        <v>64</v>
      </c>
    </row>
    <row r="116" spans="1:38">
      <c r="A116">
        <v>123</v>
      </c>
      <c r="B116" t="s">
        <v>40</v>
      </c>
      <c r="C116" t="s">
        <v>318</v>
      </c>
      <c r="D116" t="s">
        <v>375</v>
      </c>
      <c r="E116" t="s">
        <v>68</v>
      </c>
      <c r="F116" t="s">
        <v>239</v>
      </c>
      <c r="G116" s="2">
        <v>3.6</v>
      </c>
      <c r="H116" s="2">
        <v>10</v>
      </c>
      <c r="I116" t="s">
        <v>47</v>
      </c>
      <c r="J116" t="s">
        <v>90</v>
      </c>
      <c r="K116" t="s">
        <v>49</v>
      </c>
      <c r="L116" t="s">
        <v>53</v>
      </c>
      <c r="M116" t="s">
        <v>53</v>
      </c>
      <c r="N116" s="4" t="str">
        <f t="shared" si="6"/>
        <v>High</v>
      </c>
      <c r="O116" s="4">
        <f>IF(Table13[[#This Row],[Phone distraction text]]="High",1,0)</f>
        <v>1</v>
      </c>
      <c r="P116" s="2">
        <v>7</v>
      </c>
      <c r="Q116" t="s">
        <v>91</v>
      </c>
      <c r="R116" s="4">
        <f t="shared" si="7"/>
        <v>0</v>
      </c>
      <c r="S116" t="s">
        <v>75</v>
      </c>
      <c r="T116" t="s">
        <v>50</v>
      </c>
      <c r="U116" t="s">
        <v>76</v>
      </c>
      <c r="V116" t="s">
        <v>157</v>
      </c>
      <c r="X116" t="s">
        <v>78</v>
      </c>
      <c r="Y116" t="s">
        <v>56</v>
      </c>
      <c r="Z116" t="s">
        <v>112</v>
      </c>
      <c r="AA116" s="2">
        <v>3</v>
      </c>
      <c r="AB116" t="s">
        <v>60</v>
      </c>
      <c r="AC116" t="s">
        <v>61</v>
      </c>
      <c r="AD116" t="s">
        <v>118</v>
      </c>
      <c r="AE116" t="s">
        <v>50</v>
      </c>
      <c r="AF116" t="s">
        <v>83</v>
      </c>
      <c r="AG116" t="s">
        <v>65</v>
      </c>
      <c r="AH116" t="s">
        <v>66</v>
      </c>
      <c r="AI116" t="s">
        <v>66</v>
      </c>
      <c r="AJ116" t="s">
        <v>65</v>
      </c>
      <c r="AK116" t="s">
        <v>66</v>
      </c>
      <c r="AL116" t="s">
        <v>66</v>
      </c>
    </row>
    <row r="117" spans="1:38">
      <c r="A117">
        <v>124</v>
      </c>
      <c r="B117" t="s">
        <v>272</v>
      </c>
      <c r="C117" t="s">
        <v>358</v>
      </c>
      <c r="D117" t="s">
        <v>376</v>
      </c>
      <c r="E117" t="s">
        <v>43</v>
      </c>
      <c r="F117" t="s">
        <v>342</v>
      </c>
      <c r="G117" s="2">
        <v>2.6</v>
      </c>
      <c r="H117" s="2">
        <v>4</v>
      </c>
      <c r="I117" t="s">
        <v>189</v>
      </c>
      <c r="J117" t="s">
        <v>73</v>
      </c>
      <c r="K117" t="s">
        <v>49</v>
      </c>
      <c r="L117" t="s">
        <v>53</v>
      </c>
      <c r="M117" t="s">
        <v>63</v>
      </c>
      <c r="N117" s="4" t="str">
        <f t="shared" si="6"/>
        <v>High</v>
      </c>
      <c r="O117" s="4">
        <f>IF(Table13[[#This Row],[Phone distraction text]]="High",1,0)</f>
        <v>1</v>
      </c>
      <c r="P117" s="2">
        <v>5</v>
      </c>
      <c r="Q117" t="s">
        <v>51</v>
      </c>
      <c r="R117" s="4">
        <f t="shared" si="7"/>
        <v>1</v>
      </c>
      <c r="S117" t="s">
        <v>52</v>
      </c>
      <c r="T117" t="s">
        <v>50</v>
      </c>
      <c r="U117" t="s">
        <v>122</v>
      </c>
      <c r="V117" t="s">
        <v>111</v>
      </c>
      <c r="X117" t="s">
        <v>56</v>
      </c>
      <c r="Y117" t="s">
        <v>56</v>
      </c>
      <c r="Z117" t="s">
        <v>378</v>
      </c>
      <c r="AA117" s="2">
        <v>5</v>
      </c>
      <c r="AB117" t="s">
        <v>113</v>
      </c>
      <c r="AC117" t="s">
        <v>128</v>
      </c>
      <c r="AD117" t="s">
        <v>97</v>
      </c>
      <c r="AE117" t="s">
        <v>53</v>
      </c>
      <c r="AF117" t="s">
        <v>128</v>
      </c>
      <c r="AG117" t="s">
        <v>64</v>
      </c>
      <c r="AH117" t="s">
        <v>84</v>
      </c>
      <c r="AI117" t="s">
        <v>64</v>
      </c>
      <c r="AJ117" t="s">
        <v>65</v>
      </c>
      <c r="AK117" t="s">
        <v>65</v>
      </c>
      <c r="AL117" t="s">
        <v>66</v>
      </c>
    </row>
    <row r="118" spans="1:38">
      <c r="A118">
        <v>125</v>
      </c>
      <c r="B118" t="s">
        <v>40</v>
      </c>
      <c r="C118" t="s">
        <v>132</v>
      </c>
      <c r="D118" t="s">
        <v>125</v>
      </c>
      <c r="E118" t="s">
        <v>43</v>
      </c>
      <c r="F118" t="s">
        <v>198</v>
      </c>
      <c r="G118" s="2">
        <v>2.9</v>
      </c>
      <c r="H118" s="2">
        <v>16</v>
      </c>
      <c r="I118" t="s">
        <v>89</v>
      </c>
      <c r="J118" t="s">
        <v>48</v>
      </c>
      <c r="K118" t="s">
        <v>148</v>
      </c>
      <c r="L118" t="s">
        <v>103</v>
      </c>
      <c r="M118" t="s">
        <v>53</v>
      </c>
      <c r="N118" s="4" t="str">
        <f t="shared" si="6"/>
        <v>High</v>
      </c>
      <c r="O118" s="4">
        <f>IF(Table13[[#This Row],[Phone distraction text]]="High",1,0)</f>
        <v>1</v>
      </c>
      <c r="P118" s="2">
        <v>14</v>
      </c>
      <c r="Q118" t="s">
        <v>51</v>
      </c>
      <c r="R118" s="4">
        <f t="shared" si="7"/>
        <v>1</v>
      </c>
      <c r="S118" t="s">
        <v>75</v>
      </c>
      <c r="T118" t="s">
        <v>53</v>
      </c>
      <c r="U118" t="s">
        <v>54</v>
      </c>
      <c r="V118" t="s">
        <v>363</v>
      </c>
      <c r="X118" t="s">
        <v>78</v>
      </c>
      <c r="Y118" t="s">
        <v>57</v>
      </c>
      <c r="Z118" t="s">
        <v>112</v>
      </c>
      <c r="AA118" s="2">
        <v>2</v>
      </c>
      <c r="AB118" t="s">
        <v>81</v>
      </c>
      <c r="AC118" t="s">
        <v>82</v>
      </c>
      <c r="AD118" t="s">
        <v>107</v>
      </c>
      <c r="AE118" t="s">
        <v>50</v>
      </c>
      <c r="AF118" t="s">
        <v>83</v>
      </c>
      <c r="AG118" t="s">
        <v>64</v>
      </c>
      <c r="AH118" t="s">
        <v>64</v>
      </c>
      <c r="AI118" t="s">
        <v>65</v>
      </c>
      <c r="AJ118" t="s">
        <v>65</v>
      </c>
      <c r="AK118" t="s">
        <v>64</v>
      </c>
      <c r="AL118" t="s">
        <v>66</v>
      </c>
    </row>
    <row r="119" spans="1:38">
      <c r="A119">
        <v>126</v>
      </c>
      <c r="B119" t="s">
        <v>272</v>
      </c>
      <c r="C119" t="s">
        <v>41</v>
      </c>
      <c r="D119" t="s">
        <v>125</v>
      </c>
      <c r="E119" t="s">
        <v>43</v>
      </c>
      <c r="F119" t="s">
        <v>69</v>
      </c>
      <c r="G119" s="2">
        <v>3.5</v>
      </c>
      <c r="H119" s="2">
        <v>15</v>
      </c>
      <c r="I119" t="s">
        <v>72</v>
      </c>
      <c r="J119" t="s">
        <v>90</v>
      </c>
      <c r="K119" t="s">
        <v>49</v>
      </c>
      <c r="L119" t="s">
        <v>103</v>
      </c>
      <c r="M119" t="s">
        <v>50</v>
      </c>
      <c r="N119" s="4" t="str">
        <f t="shared" si="6"/>
        <v>Not high</v>
      </c>
      <c r="O119" s="4">
        <f>IF(Table13[[#This Row],[Phone distraction text]]="High",1,0)</f>
        <v>0</v>
      </c>
      <c r="P119" s="2">
        <v>4</v>
      </c>
      <c r="Q119" t="s">
        <v>91</v>
      </c>
      <c r="R119" s="4">
        <f t="shared" si="7"/>
        <v>0</v>
      </c>
      <c r="S119" t="s">
        <v>121</v>
      </c>
      <c r="T119" t="s">
        <v>50</v>
      </c>
      <c r="U119" t="s">
        <v>76</v>
      </c>
      <c r="V119" t="s">
        <v>183</v>
      </c>
      <c r="X119" t="s">
        <v>56</v>
      </c>
      <c r="Y119" t="s">
        <v>78</v>
      </c>
      <c r="Z119" t="s">
        <v>95</v>
      </c>
      <c r="AA119" s="2">
        <v>4</v>
      </c>
      <c r="AB119" t="s">
        <v>81</v>
      </c>
      <c r="AC119" t="s">
        <v>61</v>
      </c>
      <c r="AD119" t="s">
        <v>97</v>
      </c>
      <c r="AE119" t="s">
        <v>53</v>
      </c>
      <c r="AF119" t="s">
        <v>83</v>
      </c>
      <c r="AG119" t="s">
        <v>64</v>
      </c>
      <c r="AH119" t="s">
        <v>65</v>
      </c>
      <c r="AI119" t="s">
        <v>64</v>
      </c>
      <c r="AJ119" t="s">
        <v>84</v>
      </c>
      <c r="AK119" t="s">
        <v>84</v>
      </c>
      <c r="AL119" t="s">
        <v>65</v>
      </c>
    </row>
    <row r="120" spans="1:38">
      <c r="A120">
        <v>127</v>
      </c>
      <c r="B120" t="s">
        <v>98</v>
      </c>
      <c r="C120" t="s">
        <v>86</v>
      </c>
      <c r="D120" t="s">
        <v>380</v>
      </c>
      <c r="E120" t="s">
        <v>68</v>
      </c>
      <c r="F120" t="s">
        <v>101</v>
      </c>
      <c r="G120" s="2">
        <v>3.1</v>
      </c>
      <c r="H120" s="2">
        <v>16</v>
      </c>
      <c r="I120" t="s">
        <v>47</v>
      </c>
      <c r="J120" t="s">
        <v>73</v>
      </c>
      <c r="K120" t="s">
        <v>49</v>
      </c>
      <c r="L120" t="s">
        <v>53</v>
      </c>
      <c r="M120" t="s">
        <v>53</v>
      </c>
      <c r="N120" s="4" t="str">
        <f t="shared" si="6"/>
        <v>High</v>
      </c>
      <c r="O120" s="4">
        <f>IF(Table13[[#This Row],[Phone distraction text]]="High",1,0)</f>
        <v>1</v>
      </c>
      <c r="P120" s="2">
        <v>5</v>
      </c>
      <c r="Q120" t="s">
        <v>74</v>
      </c>
      <c r="R120" s="4">
        <f t="shared" si="7"/>
        <v>1</v>
      </c>
      <c r="S120" t="s">
        <v>121</v>
      </c>
      <c r="T120" t="s">
        <v>50</v>
      </c>
      <c r="U120" t="s">
        <v>116</v>
      </c>
      <c r="V120" t="s">
        <v>183</v>
      </c>
      <c r="X120" t="s">
        <v>78</v>
      </c>
      <c r="Y120" t="s">
        <v>56</v>
      </c>
      <c r="Z120" t="s">
        <v>58</v>
      </c>
      <c r="AA120" s="2">
        <v>3</v>
      </c>
      <c r="AB120" t="s">
        <v>81</v>
      </c>
      <c r="AC120" t="s">
        <v>128</v>
      </c>
      <c r="AD120" t="s">
        <v>173</v>
      </c>
      <c r="AE120" t="s">
        <v>50</v>
      </c>
      <c r="AF120" t="s">
        <v>128</v>
      </c>
      <c r="AG120" t="s">
        <v>84</v>
      </c>
      <c r="AH120" t="s">
        <v>64</v>
      </c>
      <c r="AI120" t="s">
        <v>84</v>
      </c>
      <c r="AJ120" t="s">
        <v>84</v>
      </c>
      <c r="AK120" t="s">
        <v>84</v>
      </c>
      <c r="AL120" t="s">
        <v>65</v>
      </c>
    </row>
    <row r="121" spans="1:38">
      <c r="A121">
        <v>128</v>
      </c>
      <c r="B121" t="s">
        <v>124</v>
      </c>
      <c r="C121" t="s">
        <v>41</v>
      </c>
      <c r="D121" t="s">
        <v>382</v>
      </c>
      <c r="E121" t="s">
        <v>43</v>
      </c>
      <c r="F121" t="s">
        <v>198</v>
      </c>
      <c r="G121" s="2">
        <v>3.6</v>
      </c>
      <c r="H121" s="2">
        <v>15</v>
      </c>
      <c r="I121" t="s">
        <v>47</v>
      </c>
      <c r="J121" t="s">
        <v>135</v>
      </c>
      <c r="K121" t="s">
        <v>49</v>
      </c>
      <c r="L121" t="s">
        <v>93</v>
      </c>
      <c r="M121" t="s">
        <v>103</v>
      </c>
      <c r="N121" s="4" t="str">
        <f t="shared" si="6"/>
        <v>Not high</v>
      </c>
      <c r="O121" s="4">
        <f>IF(Table13[[#This Row],[Phone distraction text]]="High",1,0)</f>
        <v>0</v>
      </c>
      <c r="P121" s="2">
        <v>6</v>
      </c>
      <c r="Q121" t="s">
        <v>91</v>
      </c>
      <c r="R121" s="4">
        <f t="shared" si="7"/>
        <v>0</v>
      </c>
      <c r="S121" t="s">
        <v>121</v>
      </c>
      <c r="T121" t="s">
        <v>53</v>
      </c>
      <c r="U121" t="s">
        <v>105</v>
      </c>
      <c r="V121" t="s">
        <v>111</v>
      </c>
      <c r="X121" t="s">
        <v>56</v>
      </c>
      <c r="Y121" t="s">
        <v>56</v>
      </c>
      <c r="Z121" t="s">
        <v>151</v>
      </c>
      <c r="AA121" s="2">
        <v>4</v>
      </c>
      <c r="AB121" t="s">
        <v>81</v>
      </c>
      <c r="AC121" t="s">
        <v>82</v>
      </c>
      <c r="AD121" t="s">
        <v>118</v>
      </c>
      <c r="AE121" t="s">
        <v>53</v>
      </c>
      <c r="AF121" t="s">
        <v>83</v>
      </c>
      <c r="AG121" t="s">
        <v>64</v>
      </c>
      <c r="AH121" t="s">
        <v>64</v>
      </c>
      <c r="AI121" t="s">
        <v>84</v>
      </c>
      <c r="AJ121" t="s">
        <v>64</v>
      </c>
      <c r="AK121" t="s">
        <v>65</v>
      </c>
      <c r="AL121" t="s">
        <v>64</v>
      </c>
    </row>
    <row r="122" spans="1:38">
      <c r="A122">
        <v>129</v>
      </c>
      <c r="B122" t="s">
        <v>85</v>
      </c>
      <c r="C122" t="s">
        <v>86</v>
      </c>
      <c r="D122" t="s">
        <v>384</v>
      </c>
      <c r="E122" t="s">
        <v>68</v>
      </c>
      <c r="F122" t="s">
        <v>349</v>
      </c>
      <c r="G122" s="2">
        <v>3</v>
      </c>
      <c r="H122" s="2">
        <v>17</v>
      </c>
      <c r="I122" t="s">
        <v>72</v>
      </c>
      <c r="J122" t="s">
        <v>135</v>
      </c>
      <c r="K122" t="s">
        <v>148</v>
      </c>
      <c r="L122" t="s">
        <v>103</v>
      </c>
      <c r="M122" t="s">
        <v>50</v>
      </c>
      <c r="N122" s="4" t="str">
        <f t="shared" si="6"/>
        <v>Not high</v>
      </c>
      <c r="O122" s="4">
        <f>IF(Table13[[#This Row],[Phone distraction text]]="High",1,0)</f>
        <v>0</v>
      </c>
      <c r="P122" s="2">
        <v>3</v>
      </c>
      <c r="Q122" t="s">
        <v>74</v>
      </c>
      <c r="R122" s="4">
        <f t="shared" si="7"/>
        <v>1</v>
      </c>
      <c r="S122" t="s">
        <v>75</v>
      </c>
      <c r="T122" t="s">
        <v>53</v>
      </c>
      <c r="U122" t="s">
        <v>54</v>
      </c>
      <c r="V122" t="s">
        <v>363</v>
      </c>
      <c r="X122" t="s">
        <v>56</v>
      </c>
      <c r="Y122" t="s">
        <v>56</v>
      </c>
      <c r="Z122" t="s">
        <v>151</v>
      </c>
      <c r="AA122" s="2">
        <v>4</v>
      </c>
      <c r="AB122" t="s">
        <v>60</v>
      </c>
      <c r="AC122" t="s">
        <v>82</v>
      </c>
      <c r="AD122" t="s">
        <v>173</v>
      </c>
      <c r="AE122" t="s">
        <v>53</v>
      </c>
      <c r="AF122" t="s">
        <v>83</v>
      </c>
      <c r="AG122" t="s">
        <v>84</v>
      </c>
      <c r="AH122" t="s">
        <v>64</v>
      </c>
      <c r="AI122" t="s">
        <v>64</v>
      </c>
      <c r="AJ122" t="s">
        <v>65</v>
      </c>
      <c r="AK122" t="s">
        <v>65</v>
      </c>
      <c r="AL122" t="s">
        <v>66</v>
      </c>
    </row>
    <row r="123" spans="1:38">
      <c r="A123">
        <v>130</v>
      </c>
      <c r="B123" t="s">
        <v>85</v>
      </c>
      <c r="C123" t="s">
        <v>41</v>
      </c>
      <c r="D123" t="s">
        <v>145</v>
      </c>
      <c r="E123" t="s">
        <v>68</v>
      </c>
      <c r="F123" t="s">
        <v>69</v>
      </c>
      <c r="G123" s="2">
        <v>3.7</v>
      </c>
      <c r="H123" s="2">
        <v>8</v>
      </c>
      <c r="I123" t="s">
        <v>110</v>
      </c>
      <c r="J123" t="s">
        <v>73</v>
      </c>
      <c r="K123" t="s">
        <v>49</v>
      </c>
      <c r="L123" t="s">
        <v>103</v>
      </c>
      <c r="M123" t="s">
        <v>103</v>
      </c>
      <c r="N123" s="4" t="str">
        <f t="shared" si="6"/>
        <v>Not high</v>
      </c>
      <c r="O123" s="4">
        <f>IF(Table13[[#This Row],[Phone distraction text]]="High",1,0)</f>
        <v>0</v>
      </c>
      <c r="P123" s="2">
        <v>7</v>
      </c>
      <c r="Q123" t="s">
        <v>104</v>
      </c>
      <c r="R123" s="4">
        <f t="shared" si="7"/>
        <v>0</v>
      </c>
      <c r="S123" t="s">
        <v>92</v>
      </c>
      <c r="T123" t="s">
        <v>50</v>
      </c>
      <c r="U123" t="s">
        <v>122</v>
      </c>
      <c r="V123" t="s">
        <v>176</v>
      </c>
      <c r="X123" t="s">
        <v>56</v>
      </c>
      <c r="Y123" t="s">
        <v>57</v>
      </c>
      <c r="Z123" t="s">
        <v>79</v>
      </c>
      <c r="AA123" s="2">
        <v>5</v>
      </c>
      <c r="AB123" t="s">
        <v>81</v>
      </c>
      <c r="AC123" t="s">
        <v>61</v>
      </c>
      <c r="AD123" t="s">
        <v>118</v>
      </c>
      <c r="AE123" t="s">
        <v>53</v>
      </c>
      <c r="AF123" t="s">
        <v>83</v>
      </c>
      <c r="AG123" t="s">
        <v>84</v>
      </c>
      <c r="AH123" t="s">
        <v>64</v>
      </c>
      <c r="AI123" t="s">
        <v>64</v>
      </c>
      <c r="AJ123" t="s">
        <v>65</v>
      </c>
      <c r="AK123" t="s">
        <v>65</v>
      </c>
      <c r="AL123" t="s">
        <v>64</v>
      </c>
    </row>
    <row r="124" spans="1:38">
      <c r="A124">
        <v>131</v>
      </c>
      <c r="B124" t="s">
        <v>272</v>
      </c>
      <c r="C124" t="s">
        <v>86</v>
      </c>
      <c r="D124" t="s">
        <v>385</v>
      </c>
      <c r="E124" t="s">
        <v>68</v>
      </c>
      <c r="F124" t="s">
        <v>349</v>
      </c>
      <c r="G124" s="2">
        <v>2.9</v>
      </c>
      <c r="H124" s="2">
        <v>14</v>
      </c>
      <c r="I124" t="s">
        <v>189</v>
      </c>
      <c r="J124" t="s">
        <v>90</v>
      </c>
      <c r="K124" t="s">
        <v>167</v>
      </c>
      <c r="L124" t="s">
        <v>63</v>
      </c>
      <c r="M124" t="s">
        <v>63</v>
      </c>
      <c r="N124" s="4" t="str">
        <f t="shared" ref="N124:N152" si="8">IF(OR(M124="Often",M124="Always"),"High","Not high")</f>
        <v>High</v>
      </c>
      <c r="O124" s="4">
        <f>IF(Table13[[#This Row],[Phone distraction text]]="High",1,0)</f>
        <v>1</v>
      </c>
      <c r="P124" s="2">
        <v>2</v>
      </c>
      <c r="Q124" t="s">
        <v>51</v>
      </c>
      <c r="R124" s="4">
        <f t="shared" ref="R124:R152" si="9">IF(OR(Q124="Less than 5",Q124="5-6",Q124="6-7"),1,0)</f>
        <v>1</v>
      </c>
      <c r="S124" t="s">
        <v>75</v>
      </c>
      <c r="T124" t="s">
        <v>53</v>
      </c>
      <c r="U124" t="s">
        <v>116</v>
      </c>
      <c r="V124" t="s">
        <v>386</v>
      </c>
      <c r="X124" t="s">
        <v>78</v>
      </c>
      <c r="Y124" t="s">
        <v>56</v>
      </c>
      <c r="Z124" t="s">
        <v>58</v>
      </c>
      <c r="AA124" s="2">
        <v>2</v>
      </c>
      <c r="AB124" t="s">
        <v>60</v>
      </c>
      <c r="AC124" t="s">
        <v>82</v>
      </c>
      <c r="AD124" t="s">
        <v>107</v>
      </c>
      <c r="AE124" t="s">
        <v>103</v>
      </c>
      <c r="AF124" t="s">
        <v>128</v>
      </c>
      <c r="AG124" t="s">
        <v>64</v>
      </c>
      <c r="AH124" t="s">
        <v>65</v>
      </c>
      <c r="AI124" t="s">
        <v>64</v>
      </c>
      <c r="AJ124" t="s">
        <v>65</v>
      </c>
      <c r="AK124" t="s">
        <v>65</v>
      </c>
      <c r="AL124" t="s">
        <v>66</v>
      </c>
    </row>
    <row r="125" spans="1:38">
      <c r="A125">
        <v>132</v>
      </c>
      <c r="B125" t="s">
        <v>40</v>
      </c>
      <c r="C125" t="s">
        <v>86</v>
      </c>
      <c r="D125" t="s">
        <v>276</v>
      </c>
      <c r="E125" t="s">
        <v>43</v>
      </c>
      <c r="F125" t="s">
        <v>342</v>
      </c>
      <c r="G125" s="2">
        <v>3.8</v>
      </c>
      <c r="H125" s="2">
        <v>9</v>
      </c>
      <c r="I125" t="s">
        <v>89</v>
      </c>
      <c r="J125" t="s">
        <v>73</v>
      </c>
      <c r="K125" t="s">
        <v>148</v>
      </c>
      <c r="L125" t="s">
        <v>93</v>
      </c>
      <c r="M125" t="s">
        <v>93</v>
      </c>
      <c r="N125" s="4" t="str">
        <f t="shared" si="8"/>
        <v>Not high</v>
      </c>
      <c r="O125" s="4">
        <f>IF(Table13[[#This Row],[Phone distraction text]]="High",1,0)</f>
        <v>0</v>
      </c>
      <c r="P125" s="2">
        <v>10</v>
      </c>
      <c r="Q125" t="s">
        <v>104</v>
      </c>
      <c r="R125" s="4">
        <f t="shared" si="9"/>
        <v>0</v>
      </c>
      <c r="S125" t="s">
        <v>75</v>
      </c>
      <c r="T125" t="s">
        <v>63</v>
      </c>
      <c r="U125" t="s">
        <v>122</v>
      </c>
      <c r="V125" t="s">
        <v>111</v>
      </c>
      <c r="X125" t="s">
        <v>56</v>
      </c>
      <c r="Y125" t="s">
        <v>57</v>
      </c>
      <c r="Z125" t="s">
        <v>388</v>
      </c>
      <c r="AA125" s="2">
        <v>4</v>
      </c>
      <c r="AB125" t="s">
        <v>96</v>
      </c>
      <c r="AC125" t="s">
        <v>128</v>
      </c>
      <c r="AD125" t="s">
        <v>118</v>
      </c>
      <c r="AE125" t="s">
        <v>53</v>
      </c>
      <c r="AF125" t="s">
        <v>83</v>
      </c>
      <c r="AG125" t="s">
        <v>84</v>
      </c>
      <c r="AH125" t="s">
        <v>64</v>
      </c>
      <c r="AI125" t="s">
        <v>84</v>
      </c>
      <c r="AJ125" t="s">
        <v>84</v>
      </c>
      <c r="AK125" t="s">
        <v>64</v>
      </c>
      <c r="AL125" t="s">
        <v>84</v>
      </c>
    </row>
    <row r="126" spans="1:38">
      <c r="A126">
        <v>133</v>
      </c>
      <c r="B126" t="s">
        <v>272</v>
      </c>
      <c r="C126" t="s">
        <v>264</v>
      </c>
      <c r="D126" t="s">
        <v>264</v>
      </c>
      <c r="E126" t="s">
        <v>68</v>
      </c>
      <c r="F126" t="s">
        <v>101</v>
      </c>
      <c r="G126" s="2">
        <v>2.6</v>
      </c>
      <c r="H126" s="2">
        <v>15</v>
      </c>
      <c r="I126" t="s">
        <v>72</v>
      </c>
      <c r="J126" t="s">
        <v>48</v>
      </c>
      <c r="K126" t="s">
        <v>49</v>
      </c>
      <c r="L126" t="s">
        <v>63</v>
      </c>
      <c r="M126" t="s">
        <v>63</v>
      </c>
      <c r="N126" s="4" t="str">
        <f t="shared" si="8"/>
        <v>High</v>
      </c>
      <c r="O126" s="4">
        <f>IF(Table13[[#This Row],[Phone distraction text]]="High",1,0)</f>
        <v>1</v>
      </c>
      <c r="P126" s="2">
        <v>2</v>
      </c>
      <c r="Q126" t="s">
        <v>51</v>
      </c>
      <c r="R126" s="4">
        <f t="shared" si="9"/>
        <v>1</v>
      </c>
      <c r="S126" t="s">
        <v>75</v>
      </c>
      <c r="T126" t="s">
        <v>50</v>
      </c>
      <c r="U126" t="s">
        <v>116</v>
      </c>
      <c r="V126" t="s">
        <v>361</v>
      </c>
      <c r="X126" t="s">
        <v>78</v>
      </c>
      <c r="Y126" t="s">
        <v>56</v>
      </c>
      <c r="Z126" t="s">
        <v>95</v>
      </c>
      <c r="AA126" s="2">
        <v>2</v>
      </c>
      <c r="AB126" t="s">
        <v>113</v>
      </c>
      <c r="AC126" t="s">
        <v>82</v>
      </c>
      <c r="AD126" t="s">
        <v>97</v>
      </c>
      <c r="AE126" t="s">
        <v>103</v>
      </c>
      <c r="AF126" t="s">
        <v>128</v>
      </c>
      <c r="AG126" t="s">
        <v>66</v>
      </c>
      <c r="AH126" t="s">
        <v>66</v>
      </c>
      <c r="AI126" t="s">
        <v>65</v>
      </c>
      <c r="AJ126" t="s">
        <v>66</v>
      </c>
      <c r="AK126" t="s">
        <v>65</v>
      </c>
      <c r="AL126" t="s">
        <v>65</v>
      </c>
    </row>
    <row r="127" spans="1:38">
      <c r="A127">
        <v>134</v>
      </c>
      <c r="B127" t="s">
        <v>98</v>
      </c>
      <c r="C127" t="s">
        <v>41</v>
      </c>
      <c r="D127" t="s">
        <v>125</v>
      </c>
      <c r="E127" t="s">
        <v>43</v>
      </c>
      <c r="F127" t="s">
        <v>198</v>
      </c>
      <c r="G127" s="2">
        <v>3.1</v>
      </c>
      <c r="H127" s="2">
        <v>16</v>
      </c>
      <c r="I127" t="s">
        <v>47</v>
      </c>
      <c r="J127" t="s">
        <v>48</v>
      </c>
      <c r="K127" t="s">
        <v>148</v>
      </c>
      <c r="L127" t="s">
        <v>50</v>
      </c>
      <c r="M127" t="s">
        <v>53</v>
      </c>
      <c r="N127" s="4" t="str">
        <f t="shared" si="8"/>
        <v>High</v>
      </c>
      <c r="O127" s="4">
        <f>IF(Table13[[#This Row],[Phone distraction text]]="High",1,0)</f>
        <v>1</v>
      </c>
      <c r="P127" s="2">
        <v>5</v>
      </c>
      <c r="Q127" t="s">
        <v>91</v>
      </c>
      <c r="R127" s="4">
        <f t="shared" si="9"/>
        <v>0</v>
      </c>
      <c r="S127" t="s">
        <v>121</v>
      </c>
      <c r="T127" t="s">
        <v>63</v>
      </c>
      <c r="U127" t="s">
        <v>54</v>
      </c>
      <c r="V127" t="s">
        <v>77</v>
      </c>
      <c r="X127" t="s">
        <v>78</v>
      </c>
      <c r="Y127" t="s">
        <v>78</v>
      </c>
      <c r="Z127" t="s">
        <v>58</v>
      </c>
      <c r="AA127" s="2">
        <v>3</v>
      </c>
      <c r="AB127" t="s">
        <v>81</v>
      </c>
      <c r="AC127" t="s">
        <v>82</v>
      </c>
      <c r="AD127" t="s">
        <v>107</v>
      </c>
      <c r="AE127" t="s">
        <v>50</v>
      </c>
      <c r="AF127" t="s">
        <v>83</v>
      </c>
      <c r="AG127" t="s">
        <v>65</v>
      </c>
      <c r="AH127" t="s">
        <v>64</v>
      </c>
      <c r="AI127" t="s">
        <v>65</v>
      </c>
      <c r="AJ127" t="s">
        <v>65</v>
      </c>
      <c r="AK127" t="s">
        <v>64</v>
      </c>
      <c r="AL127" t="s">
        <v>64</v>
      </c>
    </row>
    <row r="128" spans="1:38">
      <c r="A128">
        <v>135</v>
      </c>
      <c r="B128" t="s">
        <v>85</v>
      </c>
      <c r="C128" t="s">
        <v>41</v>
      </c>
      <c r="D128" t="s">
        <v>375</v>
      </c>
      <c r="E128" t="s">
        <v>43</v>
      </c>
      <c r="F128" t="s">
        <v>101</v>
      </c>
      <c r="G128" s="2">
        <v>3.6</v>
      </c>
      <c r="H128" s="2">
        <v>6</v>
      </c>
      <c r="I128" t="s">
        <v>110</v>
      </c>
      <c r="J128" t="s">
        <v>243</v>
      </c>
      <c r="K128" t="s">
        <v>49</v>
      </c>
      <c r="L128" t="s">
        <v>103</v>
      </c>
      <c r="M128" t="s">
        <v>93</v>
      </c>
      <c r="N128" s="4" t="str">
        <f t="shared" si="8"/>
        <v>Not high</v>
      </c>
      <c r="O128" s="4">
        <f>IF(Table13[[#This Row],[Phone distraction text]]="High",1,0)</f>
        <v>0</v>
      </c>
      <c r="P128" s="2">
        <v>9</v>
      </c>
      <c r="Q128" t="s">
        <v>104</v>
      </c>
      <c r="R128" s="4">
        <f t="shared" si="9"/>
        <v>0</v>
      </c>
      <c r="S128" t="s">
        <v>92</v>
      </c>
      <c r="T128" t="s">
        <v>53</v>
      </c>
      <c r="U128" t="s">
        <v>122</v>
      </c>
      <c r="V128" t="s">
        <v>389</v>
      </c>
      <c r="X128" t="s">
        <v>57</v>
      </c>
      <c r="Y128" t="s">
        <v>57</v>
      </c>
      <c r="Z128" t="s">
        <v>229</v>
      </c>
      <c r="AA128" s="2">
        <v>5</v>
      </c>
      <c r="AB128" t="s">
        <v>113</v>
      </c>
      <c r="AC128" t="s">
        <v>82</v>
      </c>
      <c r="AD128" t="s">
        <v>107</v>
      </c>
      <c r="AE128" t="s">
        <v>103</v>
      </c>
      <c r="AF128" t="s">
        <v>83</v>
      </c>
      <c r="AG128" t="s">
        <v>65</v>
      </c>
      <c r="AH128" t="s">
        <v>84</v>
      </c>
      <c r="AI128" t="s">
        <v>84</v>
      </c>
      <c r="AJ128" t="s">
        <v>64</v>
      </c>
      <c r="AK128" t="s">
        <v>84</v>
      </c>
      <c r="AL128" t="s">
        <v>84</v>
      </c>
    </row>
    <row r="129" spans="1:38">
      <c r="A129">
        <v>136</v>
      </c>
      <c r="B129" t="s">
        <v>272</v>
      </c>
      <c r="C129" t="s">
        <v>86</v>
      </c>
      <c r="D129" t="s">
        <v>276</v>
      </c>
      <c r="E129" t="s">
        <v>68</v>
      </c>
      <c r="F129" t="s">
        <v>44</v>
      </c>
      <c r="G129" s="2">
        <v>2.7</v>
      </c>
      <c r="H129" s="2">
        <v>15</v>
      </c>
      <c r="I129" t="s">
        <v>72</v>
      </c>
      <c r="J129" t="s">
        <v>90</v>
      </c>
      <c r="K129" t="s">
        <v>167</v>
      </c>
      <c r="L129" t="s">
        <v>53</v>
      </c>
      <c r="M129" t="s">
        <v>53</v>
      </c>
      <c r="N129" s="4" t="str">
        <f t="shared" si="8"/>
        <v>High</v>
      </c>
      <c r="O129" s="4">
        <f>IF(Table13[[#This Row],[Phone distraction text]]="High",1,0)</f>
        <v>1</v>
      </c>
      <c r="P129" s="2">
        <v>3</v>
      </c>
      <c r="Q129" t="s">
        <v>74</v>
      </c>
      <c r="R129" s="4">
        <f t="shared" si="9"/>
        <v>1</v>
      </c>
      <c r="S129" t="s">
        <v>75</v>
      </c>
      <c r="T129" t="s">
        <v>50</v>
      </c>
      <c r="U129" t="s">
        <v>54</v>
      </c>
      <c r="V129" t="s">
        <v>266</v>
      </c>
      <c r="X129" t="s">
        <v>78</v>
      </c>
      <c r="Y129" t="s">
        <v>56</v>
      </c>
      <c r="Z129" t="s">
        <v>58</v>
      </c>
      <c r="AA129" s="2">
        <v>2</v>
      </c>
      <c r="AB129" t="s">
        <v>96</v>
      </c>
      <c r="AC129" t="s">
        <v>61</v>
      </c>
      <c r="AD129" t="s">
        <v>118</v>
      </c>
      <c r="AE129" t="s">
        <v>63</v>
      </c>
      <c r="AF129" t="s">
        <v>178</v>
      </c>
      <c r="AG129" t="s">
        <v>66</v>
      </c>
      <c r="AH129" t="s">
        <v>65</v>
      </c>
      <c r="AI129" t="s">
        <v>66</v>
      </c>
      <c r="AJ129" t="s">
        <v>65</v>
      </c>
      <c r="AK129" t="s">
        <v>66</v>
      </c>
      <c r="AL129" t="s">
        <v>66</v>
      </c>
    </row>
    <row r="130" spans="1:38">
      <c r="A130">
        <v>137</v>
      </c>
      <c r="B130" t="s">
        <v>40</v>
      </c>
      <c r="C130" t="s">
        <v>41</v>
      </c>
      <c r="D130" t="s">
        <v>336</v>
      </c>
      <c r="E130" t="s">
        <v>43</v>
      </c>
      <c r="F130" t="s">
        <v>198</v>
      </c>
      <c r="G130" s="2">
        <v>3.7</v>
      </c>
      <c r="H130" s="2">
        <v>10</v>
      </c>
      <c r="I130" t="s">
        <v>189</v>
      </c>
      <c r="J130" t="s">
        <v>243</v>
      </c>
      <c r="K130" t="s">
        <v>49</v>
      </c>
      <c r="L130" t="s">
        <v>50</v>
      </c>
      <c r="M130" t="s">
        <v>50</v>
      </c>
      <c r="N130" s="4" t="str">
        <f t="shared" si="8"/>
        <v>Not high</v>
      </c>
      <c r="O130" s="4">
        <f>IF(Table13[[#This Row],[Phone distraction text]]="High",1,0)</f>
        <v>0</v>
      </c>
      <c r="P130" s="2">
        <v>12</v>
      </c>
      <c r="Q130" t="s">
        <v>91</v>
      </c>
      <c r="R130" s="4">
        <f t="shared" si="9"/>
        <v>0</v>
      </c>
      <c r="S130" t="s">
        <v>75</v>
      </c>
      <c r="T130" t="s">
        <v>103</v>
      </c>
      <c r="U130" t="s">
        <v>76</v>
      </c>
      <c r="V130" t="s">
        <v>176</v>
      </c>
      <c r="X130" t="s">
        <v>56</v>
      </c>
      <c r="Y130" t="s">
        <v>78</v>
      </c>
      <c r="Z130" t="s">
        <v>151</v>
      </c>
      <c r="AA130" s="2">
        <v>4</v>
      </c>
      <c r="AB130" t="s">
        <v>113</v>
      </c>
      <c r="AC130" t="s">
        <v>82</v>
      </c>
      <c r="AD130" t="s">
        <v>97</v>
      </c>
      <c r="AE130" t="s">
        <v>53</v>
      </c>
      <c r="AF130" t="s">
        <v>83</v>
      </c>
      <c r="AG130" t="s">
        <v>84</v>
      </c>
      <c r="AH130" t="s">
        <v>84</v>
      </c>
      <c r="AI130" t="s">
        <v>84</v>
      </c>
      <c r="AJ130" t="s">
        <v>64</v>
      </c>
      <c r="AK130" t="s">
        <v>84</v>
      </c>
      <c r="AL130" t="s">
        <v>84</v>
      </c>
    </row>
    <row r="131" spans="1:38">
      <c r="A131">
        <v>138</v>
      </c>
      <c r="B131" t="s">
        <v>124</v>
      </c>
      <c r="C131" t="s">
        <v>86</v>
      </c>
      <c r="D131" t="s">
        <v>392</v>
      </c>
      <c r="E131" t="s">
        <v>43</v>
      </c>
      <c r="F131" t="s">
        <v>349</v>
      </c>
      <c r="G131" s="2">
        <v>3</v>
      </c>
      <c r="H131" s="2">
        <v>16</v>
      </c>
      <c r="I131" t="s">
        <v>72</v>
      </c>
      <c r="J131" t="s">
        <v>135</v>
      </c>
      <c r="K131" t="s">
        <v>49</v>
      </c>
      <c r="L131" t="s">
        <v>103</v>
      </c>
      <c r="M131" t="s">
        <v>103</v>
      </c>
      <c r="N131" s="4" t="str">
        <f t="shared" si="8"/>
        <v>Not high</v>
      </c>
      <c r="O131" s="4">
        <f>IF(Table13[[#This Row],[Phone distraction text]]="High",1,0)</f>
        <v>0</v>
      </c>
      <c r="P131" s="2">
        <v>4</v>
      </c>
      <c r="Q131" t="s">
        <v>74</v>
      </c>
      <c r="R131" s="4">
        <f t="shared" si="9"/>
        <v>1</v>
      </c>
      <c r="S131" t="s">
        <v>92</v>
      </c>
      <c r="T131" t="s">
        <v>50</v>
      </c>
      <c r="U131" t="s">
        <v>122</v>
      </c>
      <c r="V131" t="s">
        <v>365</v>
      </c>
      <c r="X131" t="s">
        <v>57</v>
      </c>
      <c r="Y131" t="s">
        <v>78</v>
      </c>
      <c r="Z131" t="s">
        <v>112</v>
      </c>
      <c r="AA131" s="2">
        <v>3</v>
      </c>
      <c r="AB131" t="s">
        <v>96</v>
      </c>
      <c r="AC131" t="s">
        <v>61</v>
      </c>
      <c r="AD131" t="s">
        <v>118</v>
      </c>
      <c r="AE131" t="s">
        <v>53</v>
      </c>
      <c r="AF131" t="s">
        <v>61</v>
      </c>
      <c r="AG131" t="s">
        <v>65</v>
      </c>
      <c r="AH131" t="s">
        <v>64</v>
      </c>
      <c r="AI131" t="s">
        <v>65</v>
      </c>
      <c r="AJ131" t="s">
        <v>64</v>
      </c>
      <c r="AK131" t="s">
        <v>65</v>
      </c>
      <c r="AL131" t="s">
        <v>64</v>
      </c>
    </row>
    <row r="132" spans="1:38">
      <c r="A132">
        <v>139</v>
      </c>
      <c r="B132" t="s">
        <v>98</v>
      </c>
      <c r="C132" t="s">
        <v>41</v>
      </c>
      <c r="D132" t="s">
        <v>125</v>
      </c>
      <c r="E132" t="s">
        <v>68</v>
      </c>
      <c r="F132" t="s">
        <v>342</v>
      </c>
      <c r="G132" s="2">
        <v>3.2</v>
      </c>
      <c r="H132" s="2">
        <v>15</v>
      </c>
      <c r="I132" t="s">
        <v>47</v>
      </c>
      <c r="J132" t="s">
        <v>48</v>
      </c>
      <c r="K132" t="s">
        <v>49</v>
      </c>
      <c r="L132" t="s">
        <v>50</v>
      </c>
      <c r="M132" t="s">
        <v>50</v>
      </c>
      <c r="N132" s="4" t="str">
        <f t="shared" si="8"/>
        <v>Not high</v>
      </c>
      <c r="O132" s="4">
        <f>IF(Table13[[#This Row],[Phone distraction text]]="High",1,0)</f>
        <v>0</v>
      </c>
      <c r="P132" s="2">
        <v>5</v>
      </c>
      <c r="Q132" t="s">
        <v>91</v>
      </c>
      <c r="R132" s="4">
        <f t="shared" si="9"/>
        <v>0</v>
      </c>
      <c r="S132" t="s">
        <v>75</v>
      </c>
      <c r="T132" t="s">
        <v>50</v>
      </c>
      <c r="U132" t="s">
        <v>116</v>
      </c>
      <c r="V132" t="s">
        <v>183</v>
      </c>
      <c r="X132" t="s">
        <v>56</v>
      </c>
      <c r="Y132" t="s">
        <v>56</v>
      </c>
      <c r="Z132" t="s">
        <v>58</v>
      </c>
      <c r="AA132" s="2">
        <v>4</v>
      </c>
      <c r="AB132" t="s">
        <v>202</v>
      </c>
      <c r="AC132" t="s">
        <v>82</v>
      </c>
      <c r="AD132" t="s">
        <v>118</v>
      </c>
      <c r="AE132" t="s">
        <v>50</v>
      </c>
      <c r="AF132" t="s">
        <v>61</v>
      </c>
      <c r="AG132" t="s">
        <v>64</v>
      </c>
      <c r="AH132" t="s">
        <v>64</v>
      </c>
      <c r="AI132" t="s">
        <v>64</v>
      </c>
      <c r="AJ132" t="s">
        <v>65</v>
      </c>
      <c r="AK132" t="s">
        <v>64</v>
      </c>
      <c r="AL132" t="s">
        <v>64</v>
      </c>
    </row>
    <row r="133" spans="1:38">
      <c r="A133">
        <v>140</v>
      </c>
      <c r="B133" t="s">
        <v>85</v>
      </c>
      <c r="C133" t="s">
        <v>86</v>
      </c>
      <c r="D133" t="s">
        <v>276</v>
      </c>
      <c r="E133" t="s">
        <v>43</v>
      </c>
      <c r="F133" t="s">
        <v>101</v>
      </c>
      <c r="G133" s="2">
        <v>3.5</v>
      </c>
      <c r="H133" s="2">
        <v>14</v>
      </c>
      <c r="I133" t="s">
        <v>189</v>
      </c>
      <c r="J133" t="s">
        <v>90</v>
      </c>
      <c r="K133" t="s">
        <v>167</v>
      </c>
      <c r="L133" t="s">
        <v>50</v>
      </c>
      <c r="M133" t="s">
        <v>103</v>
      </c>
      <c r="N133" s="4" t="str">
        <f t="shared" si="8"/>
        <v>Not high</v>
      </c>
      <c r="O133" s="4">
        <f>IF(Table13[[#This Row],[Phone distraction text]]="High",1,0)</f>
        <v>0</v>
      </c>
      <c r="P133" s="2">
        <v>7</v>
      </c>
      <c r="Q133" t="s">
        <v>91</v>
      </c>
      <c r="R133" s="4">
        <f t="shared" si="9"/>
        <v>0</v>
      </c>
      <c r="S133" t="s">
        <v>75</v>
      </c>
      <c r="T133" t="s">
        <v>53</v>
      </c>
      <c r="U133" t="s">
        <v>105</v>
      </c>
      <c r="V133" t="s">
        <v>393</v>
      </c>
      <c r="X133" t="s">
        <v>56</v>
      </c>
      <c r="Y133" t="s">
        <v>56</v>
      </c>
      <c r="Z133" t="s">
        <v>151</v>
      </c>
      <c r="AA133" s="2">
        <v>4</v>
      </c>
      <c r="AB133" t="s">
        <v>113</v>
      </c>
      <c r="AC133" t="s">
        <v>82</v>
      </c>
      <c r="AD133" t="s">
        <v>97</v>
      </c>
      <c r="AE133" t="s">
        <v>53</v>
      </c>
      <c r="AF133" t="s">
        <v>83</v>
      </c>
      <c r="AG133" t="s">
        <v>64</v>
      </c>
      <c r="AH133" t="s">
        <v>84</v>
      </c>
      <c r="AI133" t="s">
        <v>64</v>
      </c>
      <c r="AJ133" t="s">
        <v>84</v>
      </c>
      <c r="AK133" t="s">
        <v>64</v>
      </c>
      <c r="AL133" t="s">
        <v>84</v>
      </c>
    </row>
    <row r="134" spans="1:38">
      <c r="A134">
        <v>141</v>
      </c>
      <c r="B134" t="s">
        <v>272</v>
      </c>
      <c r="C134" t="s">
        <v>41</v>
      </c>
      <c r="D134" t="s">
        <v>336</v>
      </c>
      <c r="E134" t="s">
        <v>68</v>
      </c>
      <c r="F134" t="s">
        <v>44</v>
      </c>
      <c r="G134" s="2">
        <v>2.9</v>
      </c>
      <c r="H134" s="2">
        <v>15</v>
      </c>
      <c r="I134" t="s">
        <v>189</v>
      </c>
      <c r="J134" t="s">
        <v>73</v>
      </c>
      <c r="K134" t="s">
        <v>148</v>
      </c>
      <c r="L134" t="s">
        <v>53</v>
      </c>
      <c r="M134" t="s">
        <v>63</v>
      </c>
      <c r="N134" s="4" t="str">
        <f t="shared" si="8"/>
        <v>High</v>
      </c>
      <c r="O134" s="4">
        <f>IF(Table13[[#This Row],[Phone distraction text]]="High",1,0)</f>
        <v>1</v>
      </c>
      <c r="P134" s="2">
        <v>3</v>
      </c>
      <c r="Q134" t="s">
        <v>51</v>
      </c>
      <c r="R134" s="4">
        <f t="shared" si="9"/>
        <v>1</v>
      </c>
      <c r="S134" t="s">
        <v>75</v>
      </c>
      <c r="T134" t="s">
        <v>53</v>
      </c>
      <c r="U134" t="s">
        <v>54</v>
      </c>
      <c r="V134" t="s">
        <v>363</v>
      </c>
      <c r="X134" t="s">
        <v>78</v>
      </c>
      <c r="Y134" t="s">
        <v>56</v>
      </c>
      <c r="Z134" t="s">
        <v>112</v>
      </c>
      <c r="AA134" s="2">
        <v>2</v>
      </c>
      <c r="AB134" t="s">
        <v>96</v>
      </c>
      <c r="AC134" t="s">
        <v>82</v>
      </c>
      <c r="AD134" t="s">
        <v>118</v>
      </c>
      <c r="AE134" t="s">
        <v>50</v>
      </c>
      <c r="AF134" t="s">
        <v>83</v>
      </c>
      <c r="AG134" t="s">
        <v>65</v>
      </c>
      <c r="AH134" t="s">
        <v>66</v>
      </c>
      <c r="AI134" t="s">
        <v>65</v>
      </c>
      <c r="AJ134" t="s">
        <v>65</v>
      </c>
      <c r="AK134" t="s">
        <v>64</v>
      </c>
      <c r="AL134" t="s">
        <v>64</v>
      </c>
    </row>
    <row r="135" spans="1:38">
      <c r="A135">
        <v>142</v>
      </c>
      <c r="B135" t="s">
        <v>40</v>
      </c>
      <c r="C135" t="s">
        <v>41</v>
      </c>
      <c r="D135" t="s">
        <v>336</v>
      </c>
      <c r="E135" t="s">
        <v>43</v>
      </c>
      <c r="F135" t="s">
        <v>69</v>
      </c>
      <c r="G135" s="2">
        <v>4</v>
      </c>
      <c r="H135" s="2">
        <v>19</v>
      </c>
      <c r="I135" t="s">
        <v>47</v>
      </c>
      <c r="J135" t="s">
        <v>135</v>
      </c>
      <c r="K135" t="s">
        <v>49</v>
      </c>
      <c r="L135" t="s">
        <v>63</v>
      </c>
      <c r="M135" t="s">
        <v>53</v>
      </c>
      <c r="N135" s="4" t="str">
        <f t="shared" si="8"/>
        <v>High</v>
      </c>
      <c r="O135" s="4">
        <f>IF(Table13[[#This Row],[Phone distraction text]]="High",1,0)</f>
        <v>1</v>
      </c>
      <c r="P135" s="2">
        <v>3</v>
      </c>
      <c r="Q135" t="s">
        <v>74</v>
      </c>
      <c r="R135" s="4">
        <f t="shared" si="9"/>
        <v>1</v>
      </c>
      <c r="S135" t="s">
        <v>75</v>
      </c>
      <c r="T135" t="s">
        <v>63</v>
      </c>
      <c r="U135" t="s">
        <v>54</v>
      </c>
      <c r="V135" t="s">
        <v>176</v>
      </c>
      <c r="X135" t="s">
        <v>56</v>
      </c>
      <c r="Y135" t="s">
        <v>56</v>
      </c>
      <c r="Z135" t="s">
        <v>58</v>
      </c>
      <c r="AA135" s="2">
        <v>4</v>
      </c>
      <c r="AB135" t="s">
        <v>60</v>
      </c>
      <c r="AC135" t="s">
        <v>82</v>
      </c>
      <c r="AD135" t="s">
        <v>97</v>
      </c>
      <c r="AE135" t="s">
        <v>63</v>
      </c>
      <c r="AF135" t="s">
        <v>83</v>
      </c>
      <c r="AG135" t="s">
        <v>84</v>
      </c>
      <c r="AH135" t="s">
        <v>84</v>
      </c>
      <c r="AI135" t="s">
        <v>84</v>
      </c>
      <c r="AJ135" t="s">
        <v>84</v>
      </c>
      <c r="AK135" t="s">
        <v>84</v>
      </c>
      <c r="AL135" t="s">
        <v>84</v>
      </c>
    </row>
    <row r="136" spans="1:38">
      <c r="A136">
        <v>143</v>
      </c>
      <c r="B136" t="s">
        <v>40</v>
      </c>
      <c r="C136" t="s">
        <v>132</v>
      </c>
      <c r="D136" t="s">
        <v>375</v>
      </c>
      <c r="E136" t="s">
        <v>43</v>
      </c>
      <c r="F136" t="s">
        <v>44</v>
      </c>
      <c r="G136" s="2">
        <v>2.7</v>
      </c>
      <c r="H136" s="2">
        <v>18</v>
      </c>
      <c r="I136" t="s">
        <v>47</v>
      </c>
      <c r="J136" t="s">
        <v>73</v>
      </c>
      <c r="K136" t="s">
        <v>167</v>
      </c>
      <c r="L136" t="s">
        <v>50</v>
      </c>
      <c r="M136" t="s">
        <v>50</v>
      </c>
      <c r="N136" s="4" t="str">
        <f t="shared" si="8"/>
        <v>Not high</v>
      </c>
      <c r="O136" s="4">
        <f>IF(Table13[[#This Row],[Phone distraction text]]="High",1,0)</f>
        <v>0</v>
      </c>
      <c r="P136" s="2">
        <v>4</v>
      </c>
      <c r="Q136" t="s">
        <v>51</v>
      </c>
      <c r="R136" s="4">
        <f t="shared" si="9"/>
        <v>1</v>
      </c>
      <c r="S136" t="s">
        <v>75</v>
      </c>
      <c r="T136" t="s">
        <v>50</v>
      </c>
      <c r="U136" t="s">
        <v>122</v>
      </c>
      <c r="V136" t="s">
        <v>365</v>
      </c>
      <c r="X136" t="s">
        <v>78</v>
      </c>
      <c r="Y136" t="s">
        <v>56</v>
      </c>
      <c r="Z136" t="s">
        <v>112</v>
      </c>
      <c r="AA136" s="2">
        <v>2</v>
      </c>
      <c r="AB136" t="s">
        <v>96</v>
      </c>
      <c r="AC136" t="s">
        <v>82</v>
      </c>
      <c r="AD136" t="s">
        <v>118</v>
      </c>
      <c r="AE136" t="s">
        <v>53</v>
      </c>
      <c r="AF136" t="s">
        <v>83</v>
      </c>
      <c r="AG136" t="s">
        <v>84</v>
      </c>
      <c r="AH136" t="s">
        <v>84</v>
      </c>
      <c r="AI136" t="s">
        <v>84</v>
      </c>
      <c r="AJ136" t="s">
        <v>84</v>
      </c>
      <c r="AK136" t="s">
        <v>84</v>
      </c>
      <c r="AL136" t="s">
        <v>64</v>
      </c>
    </row>
    <row r="137" spans="1:38">
      <c r="A137">
        <v>144</v>
      </c>
      <c r="B137" t="s">
        <v>124</v>
      </c>
      <c r="C137" t="s">
        <v>318</v>
      </c>
      <c r="D137" t="s">
        <v>374</v>
      </c>
      <c r="E137" t="s">
        <v>68</v>
      </c>
      <c r="F137" t="s">
        <v>198</v>
      </c>
      <c r="G137" s="2">
        <v>2.9</v>
      </c>
      <c r="H137" s="2">
        <v>18</v>
      </c>
      <c r="I137" t="s">
        <v>89</v>
      </c>
      <c r="J137" t="s">
        <v>90</v>
      </c>
      <c r="K137" t="s">
        <v>148</v>
      </c>
      <c r="L137" t="s">
        <v>53</v>
      </c>
      <c r="M137" t="s">
        <v>103</v>
      </c>
      <c r="N137" s="4" t="str">
        <f t="shared" si="8"/>
        <v>Not high</v>
      </c>
      <c r="O137" s="4">
        <f>IF(Table13[[#This Row],[Phone distraction text]]="High",1,0)</f>
        <v>0</v>
      </c>
      <c r="P137" s="2">
        <v>10</v>
      </c>
      <c r="Q137" t="s">
        <v>91</v>
      </c>
      <c r="R137" s="4">
        <f t="shared" si="9"/>
        <v>0</v>
      </c>
      <c r="S137" t="s">
        <v>121</v>
      </c>
      <c r="T137" t="s">
        <v>50</v>
      </c>
      <c r="U137" t="s">
        <v>116</v>
      </c>
      <c r="V137" t="s">
        <v>160</v>
      </c>
      <c r="X137" t="s">
        <v>56</v>
      </c>
      <c r="Y137" t="s">
        <v>57</v>
      </c>
      <c r="Z137" t="s">
        <v>151</v>
      </c>
      <c r="AA137" s="2">
        <v>2</v>
      </c>
      <c r="AB137" t="s">
        <v>113</v>
      </c>
      <c r="AC137" t="s">
        <v>61</v>
      </c>
      <c r="AD137" t="s">
        <v>107</v>
      </c>
      <c r="AE137" t="s">
        <v>50</v>
      </c>
      <c r="AF137" t="s">
        <v>61</v>
      </c>
      <c r="AG137" t="s">
        <v>66</v>
      </c>
      <c r="AH137" t="s">
        <v>84</v>
      </c>
      <c r="AI137" t="s">
        <v>64</v>
      </c>
      <c r="AJ137" t="s">
        <v>66</v>
      </c>
      <c r="AK137" t="s">
        <v>65</v>
      </c>
      <c r="AL137" t="s">
        <v>64</v>
      </c>
    </row>
    <row r="138" spans="1:38">
      <c r="A138">
        <v>145</v>
      </c>
      <c r="B138" t="s">
        <v>272</v>
      </c>
      <c r="C138" t="s">
        <v>318</v>
      </c>
      <c r="D138" t="s">
        <v>374</v>
      </c>
      <c r="E138" t="s">
        <v>43</v>
      </c>
      <c r="F138" t="s">
        <v>349</v>
      </c>
      <c r="G138" s="2">
        <v>2.5</v>
      </c>
      <c r="H138" s="2">
        <v>4</v>
      </c>
      <c r="I138" t="s">
        <v>72</v>
      </c>
      <c r="J138" t="s">
        <v>135</v>
      </c>
      <c r="K138" t="s">
        <v>49</v>
      </c>
      <c r="L138" t="s">
        <v>103</v>
      </c>
      <c r="M138" t="s">
        <v>63</v>
      </c>
      <c r="N138" s="4" t="str">
        <f t="shared" si="8"/>
        <v>High</v>
      </c>
      <c r="O138" s="4">
        <f>IF(Table13[[#This Row],[Phone distraction text]]="High",1,0)</f>
        <v>1</v>
      </c>
      <c r="P138" s="2">
        <v>3</v>
      </c>
      <c r="Q138" t="s">
        <v>154</v>
      </c>
      <c r="R138" s="4">
        <f t="shared" si="9"/>
        <v>1</v>
      </c>
      <c r="S138" t="s">
        <v>52</v>
      </c>
      <c r="T138" t="s">
        <v>103</v>
      </c>
      <c r="U138" t="s">
        <v>105</v>
      </c>
      <c r="V138" t="s">
        <v>365</v>
      </c>
      <c r="X138" t="s">
        <v>57</v>
      </c>
      <c r="Y138" t="s">
        <v>78</v>
      </c>
      <c r="Z138" t="s">
        <v>334</v>
      </c>
      <c r="AA138" s="2">
        <v>1</v>
      </c>
      <c r="AB138" t="s">
        <v>113</v>
      </c>
      <c r="AC138" t="s">
        <v>82</v>
      </c>
      <c r="AD138" t="s">
        <v>97</v>
      </c>
      <c r="AE138" t="s">
        <v>53</v>
      </c>
      <c r="AF138" t="s">
        <v>83</v>
      </c>
      <c r="AG138" t="s">
        <v>193</v>
      </c>
      <c r="AH138" t="s">
        <v>64</v>
      </c>
      <c r="AI138" t="s">
        <v>66</v>
      </c>
      <c r="AJ138" t="s">
        <v>66</v>
      </c>
      <c r="AK138" t="s">
        <v>193</v>
      </c>
      <c r="AL138" t="s">
        <v>65</v>
      </c>
    </row>
    <row r="139" spans="1:38">
      <c r="A139">
        <v>146</v>
      </c>
      <c r="B139" t="s">
        <v>124</v>
      </c>
      <c r="C139" t="s">
        <v>318</v>
      </c>
      <c r="D139" t="s">
        <v>374</v>
      </c>
      <c r="E139" t="s">
        <v>43</v>
      </c>
      <c r="F139" t="s">
        <v>342</v>
      </c>
      <c r="G139" s="2">
        <v>3.5</v>
      </c>
      <c r="H139" s="2">
        <v>8</v>
      </c>
      <c r="I139" t="s">
        <v>72</v>
      </c>
      <c r="J139" t="s">
        <v>73</v>
      </c>
      <c r="K139" t="s">
        <v>49</v>
      </c>
      <c r="L139" t="s">
        <v>53</v>
      </c>
      <c r="M139" t="s">
        <v>93</v>
      </c>
      <c r="N139" s="4" t="str">
        <f t="shared" si="8"/>
        <v>Not high</v>
      </c>
      <c r="O139" s="4">
        <f>IF(Table13[[#This Row],[Phone distraction text]]="High",1,0)</f>
        <v>0</v>
      </c>
      <c r="P139" s="2">
        <v>7</v>
      </c>
      <c r="Q139" t="s">
        <v>104</v>
      </c>
      <c r="R139" s="4">
        <f t="shared" si="9"/>
        <v>0</v>
      </c>
      <c r="S139" t="s">
        <v>92</v>
      </c>
      <c r="T139" t="s">
        <v>53</v>
      </c>
      <c r="U139" t="s">
        <v>105</v>
      </c>
      <c r="V139" t="s">
        <v>417</v>
      </c>
      <c r="X139" t="s">
        <v>56</v>
      </c>
      <c r="Y139" t="s">
        <v>56</v>
      </c>
      <c r="Z139" t="s">
        <v>58</v>
      </c>
      <c r="AA139" s="2">
        <v>2</v>
      </c>
      <c r="AB139" t="s">
        <v>96</v>
      </c>
      <c r="AC139" t="s">
        <v>61</v>
      </c>
      <c r="AD139" t="s">
        <v>62</v>
      </c>
      <c r="AE139" t="s">
        <v>53</v>
      </c>
      <c r="AF139" t="s">
        <v>83</v>
      </c>
      <c r="AG139" t="s">
        <v>65</v>
      </c>
      <c r="AH139" t="s">
        <v>193</v>
      </c>
      <c r="AI139" t="s">
        <v>193</v>
      </c>
      <c r="AJ139" t="s">
        <v>84</v>
      </c>
      <c r="AK139" t="s">
        <v>64</v>
      </c>
      <c r="AL139" t="s">
        <v>65</v>
      </c>
    </row>
    <row r="140" spans="1:38">
      <c r="A140">
        <v>147</v>
      </c>
      <c r="B140" t="s">
        <v>124</v>
      </c>
      <c r="C140" t="s">
        <v>86</v>
      </c>
      <c r="D140" t="s">
        <v>392</v>
      </c>
      <c r="E140" t="s">
        <v>43</v>
      </c>
      <c r="F140" t="s">
        <v>349</v>
      </c>
      <c r="G140" s="2">
        <v>2.6</v>
      </c>
      <c r="H140" s="2">
        <v>9</v>
      </c>
      <c r="I140" t="s">
        <v>189</v>
      </c>
      <c r="J140" t="s">
        <v>90</v>
      </c>
      <c r="K140" t="s">
        <v>49</v>
      </c>
      <c r="L140" t="s">
        <v>53</v>
      </c>
      <c r="M140" t="s">
        <v>103</v>
      </c>
      <c r="N140" s="4" t="str">
        <f t="shared" si="8"/>
        <v>Not high</v>
      </c>
      <c r="O140" s="4">
        <f>IF(Table13[[#This Row],[Phone distraction text]]="High",1,0)</f>
        <v>0</v>
      </c>
      <c r="P140" s="2">
        <v>9</v>
      </c>
      <c r="Q140" t="s">
        <v>74</v>
      </c>
      <c r="R140" s="4">
        <f t="shared" si="9"/>
        <v>1</v>
      </c>
      <c r="S140" t="s">
        <v>75</v>
      </c>
      <c r="T140" t="s">
        <v>50</v>
      </c>
      <c r="U140" t="s">
        <v>122</v>
      </c>
      <c r="V140" t="s">
        <v>266</v>
      </c>
      <c r="X140" t="s">
        <v>78</v>
      </c>
      <c r="Y140" t="s">
        <v>78</v>
      </c>
      <c r="Z140" t="s">
        <v>229</v>
      </c>
      <c r="AA140" s="2">
        <v>4</v>
      </c>
      <c r="AB140" t="s">
        <v>202</v>
      </c>
      <c r="AC140" t="s">
        <v>178</v>
      </c>
      <c r="AD140" t="s">
        <v>62</v>
      </c>
      <c r="AE140" t="s">
        <v>53</v>
      </c>
      <c r="AF140" t="s">
        <v>61</v>
      </c>
      <c r="AG140" t="s">
        <v>66</v>
      </c>
      <c r="AH140" t="s">
        <v>193</v>
      </c>
      <c r="AI140" t="s">
        <v>193</v>
      </c>
      <c r="AJ140" t="s">
        <v>64</v>
      </c>
      <c r="AK140" t="s">
        <v>64</v>
      </c>
      <c r="AL140" t="s">
        <v>65</v>
      </c>
    </row>
    <row r="141" spans="1:38">
      <c r="A141">
        <v>148</v>
      </c>
      <c r="B141" t="s">
        <v>40</v>
      </c>
      <c r="C141" t="s">
        <v>132</v>
      </c>
      <c r="D141" t="s">
        <v>375</v>
      </c>
      <c r="E141" t="s">
        <v>68</v>
      </c>
      <c r="F141" t="s">
        <v>44</v>
      </c>
      <c r="G141" s="2">
        <v>2.7</v>
      </c>
      <c r="H141" s="2">
        <v>18</v>
      </c>
      <c r="I141" t="s">
        <v>110</v>
      </c>
      <c r="J141" t="s">
        <v>48</v>
      </c>
      <c r="K141" t="s">
        <v>138</v>
      </c>
      <c r="L141" t="s">
        <v>50</v>
      </c>
      <c r="M141" t="s">
        <v>53</v>
      </c>
      <c r="N141" s="4" t="str">
        <f t="shared" si="8"/>
        <v>High</v>
      </c>
      <c r="O141" s="4">
        <f>IF(Table13[[#This Row],[Phone distraction text]]="High",1,0)</f>
        <v>1</v>
      </c>
      <c r="P141" s="2">
        <v>4</v>
      </c>
      <c r="Q141" t="s">
        <v>154</v>
      </c>
      <c r="R141" s="4">
        <f t="shared" si="9"/>
        <v>1</v>
      </c>
      <c r="S141" t="s">
        <v>75</v>
      </c>
      <c r="T141" t="s">
        <v>53</v>
      </c>
      <c r="U141" t="s">
        <v>105</v>
      </c>
      <c r="V141" t="s">
        <v>171</v>
      </c>
      <c r="X141" t="s">
        <v>56</v>
      </c>
      <c r="Y141" t="s">
        <v>78</v>
      </c>
      <c r="Z141" t="s">
        <v>112</v>
      </c>
      <c r="AA141" s="2">
        <v>3</v>
      </c>
      <c r="AB141" t="s">
        <v>113</v>
      </c>
      <c r="AC141" t="s">
        <v>61</v>
      </c>
      <c r="AD141" t="s">
        <v>62</v>
      </c>
      <c r="AE141" t="s">
        <v>103</v>
      </c>
      <c r="AF141" t="s">
        <v>61</v>
      </c>
      <c r="AG141" t="s">
        <v>84</v>
      </c>
      <c r="AH141" t="s">
        <v>65</v>
      </c>
      <c r="AI141" t="s">
        <v>66</v>
      </c>
      <c r="AJ141" t="s">
        <v>84</v>
      </c>
      <c r="AK141" t="s">
        <v>193</v>
      </c>
      <c r="AL141" t="s">
        <v>65</v>
      </c>
    </row>
    <row r="142" spans="1:38">
      <c r="A142">
        <v>149</v>
      </c>
      <c r="B142" t="s">
        <v>98</v>
      </c>
      <c r="C142" t="s">
        <v>309</v>
      </c>
      <c r="D142" t="s">
        <v>397</v>
      </c>
      <c r="E142" t="s">
        <v>68</v>
      </c>
      <c r="F142" t="s">
        <v>44</v>
      </c>
      <c r="G142" s="2">
        <v>2.9</v>
      </c>
      <c r="H142" s="2">
        <v>6</v>
      </c>
      <c r="I142" t="s">
        <v>110</v>
      </c>
      <c r="J142" t="s">
        <v>243</v>
      </c>
      <c r="K142" t="s">
        <v>148</v>
      </c>
      <c r="L142" t="s">
        <v>103</v>
      </c>
      <c r="M142" t="s">
        <v>63</v>
      </c>
      <c r="N142" s="4" t="str">
        <f t="shared" si="8"/>
        <v>High</v>
      </c>
      <c r="O142" s="4">
        <f>IF(Table13[[#This Row],[Phone distraction text]]="High",1,0)</f>
        <v>1</v>
      </c>
      <c r="P142" s="2">
        <v>10</v>
      </c>
      <c r="Q142" t="s">
        <v>51</v>
      </c>
      <c r="R142" s="4">
        <f t="shared" si="9"/>
        <v>1</v>
      </c>
      <c r="S142" t="s">
        <v>121</v>
      </c>
      <c r="T142" t="s">
        <v>50</v>
      </c>
      <c r="U142" t="s">
        <v>116</v>
      </c>
      <c r="V142" t="s">
        <v>350</v>
      </c>
      <c r="X142" t="s">
        <v>57</v>
      </c>
      <c r="Y142" t="s">
        <v>56</v>
      </c>
      <c r="Z142" t="s">
        <v>229</v>
      </c>
      <c r="AA142" s="2">
        <v>3</v>
      </c>
      <c r="AB142" t="s">
        <v>96</v>
      </c>
      <c r="AC142" t="s">
        <v>178</v>
      </c>
      <c r="AD142" t="s">
        <v>97</v>
      </c>
      <c r="AE142" t="s">
        <v>53</v>
      </c>
      <c r="AF142" t="s">
        <v>61</v>
      </c>
      <c r="AG142" t="s">
        <v>193</v>
      </c>
      <c r="AH142" t="s">
        <v>65</v>
      </c>
      <c r="AI142" t="s">
        <v>65</v>
      </c>
      <c r="AJ142" t="s">
        <v>193</v>
      </c>
      <c r="AK142" t="s">
        <v>193</v>
      </c>
      <c r="AL142" t="s">
        <v>66</v>
      </c>
    </row>
    <row r="143" spans="1:38">
      <c r="A143">
        <v>150</v>
      </c>
      <c r="B143" t="s">
        <v>272</v>
      </c>
      <c r="C143" t="s">
        <v>309</v>
      </c>
      <c r="D143" t="s">
        <v>397</v>
      </c>
      <c r="E143" t="s">
        <v>43</v>
      </c>
      <c r="F143" t="s">
        <v>349</v>
      </c>
      <c r="G143" s="2">
        <v>2.2999999999999998</v>
      </c>
      <c r="H143" s="2">
        <v>16</v>
      </c>
      <c r="I143" t="s">
        <v>72</v>
      </c>
      <c r="J143" t="s">
        <v>48</v>
      </c>
      <c r="K143" t="s">
        <v>148</v>
      </c>
      <c r="L143" t="s">
        <v>93</v>
      </c>
      <c r="M143" t="s">
        <v>50</v>
      </c>
      <c r="N143" s="4" t="str">
        <f t="shared" si="8"/>
        <v>Not high</v>
      </c>
      <c r="O143" s="4">
        <f>IF(Table13[[#This Row],[Phone distraction text]]="High",1,0)</f>
        <v>0</v>
      </c>
      <c r="P143" s="2">
        <v>6</v>
      </c>
      <c r="Q143" t="s">
        <v>91</v>
      </c>
      <c r="R143" s="4">
        <f t="shared" si="9"/>
        <v>0</v>
      </c>
      <c r="S143" t="s">
        <v>92</v>
      </c>
      <c r="T143" t="s">
        <v>50</v>
      </c>
      <c r="U143" t="s">
        <v>54</v>
      </c>
      <c r="V143" t="s">
        <v>340</v>
      </c>
      <c r="X143" t="s">
        <v>56</v>
      </c>
      <c r="Y143" t="s">
        <v>57</v>
      </c>
      <c r="Z143" t="s">
        <v>151</v>
      </c>
      <c r="AA143" s="2">
        <v>4</v>
      </c>
      <c r="AB143" t="s">
        <v>113</v>
      </c>
      <c r="AC143" t="s">
        <v>61</v>
      </c>
      <c r="AD143" t="s">
        <v>118</v>
      </c>
      <c r="AE143" t="s">
        <v>53</v>
      </c>
      <c r="AF143" t="s">
        <v>83</v>
      </c>
      <c r="AG143" t="s">
        <v>84</v>
      </c>
      <c r="AH143" t="s">
        <v>66</v>
      </c>
      <c r="AI143" t="s">
        <v>193</v>
      </c>
      <c r="AJ143" t="s">
        <v>64</v>
      </c>
      <c r="AK143" t="s">
        <v>64</v>
      </c>
      <c r="AL143" t="s">
        <v>66</v>
      </c>
    </row>
    <row r="144" spans="1:38">
      <c r="A144">
        <v>151</v>
      </c>
      <c r="B144" t="s">
        <v>272</v>
      </c>
      <c r="C144" t="s">
        <v>358</v>
      </c>
      <c r="D144" t="s">
        <v>359</v>
      </c>
      <c r="E144" t="s">
        <v>43</v>
      </c>
      <c r="F144" t="s">
        <v>198</v>
      </c>
      <c r="G144" s="2">
        <v>3.3</v>
      </c>
      <c r="H144" s="2">
        <v>16</v>
      </c>
      <c r="I144" t="s">
        <v>47</v>
      </c>
      <c r="J144" t="s">
        <v>135</v>
      </c>
      <c r="K144" t="s">
        <v>167</v>
      </c>
      <c r="L144" t="s">
        <v>103</v>
      </c>
      <c r="M144" t="s">
        <v>93</v>
      </c>
      <c r="N144" s="4" t="str">
        <f t="shared" si="8"/>
        <v>Not high</v>
      </c>
      <c r="O144" s="4">
        <f>IF(Table13[[#This Row],[Phone distraction text]]="High",1,0)</f>
        <v>0</v>
      </c>
      <c r="P144" s="2">
        <v>9</v>
      </c>
      <c r="Q144" t="s">
        <v>91</v>
      </c>
      <c r="R144" s="4">
        <f t="shared" si="9"/>
        <v>0</v>
      </c>
      <c r="S144" t="s">
        <v>92</v>
      </c>
      <c r="T144" t="s">
        <v>50</v>
      </c>
      <c r="U144" t="s">
        <v>116</v>
      </c>
      <c r="V144" t="s">
        <v>171</v>
      </c>
      <c r="X144" t="s">
        <v>56</v>
      </c>
      <c r="Y144" t="s">
        <v>57</v>
      </c>
      <c r="Z144" t="s">
        <v>112</v>
      </c>
      <c r="AA144" s="2">
        <v>2</v>
      </c>
      <c r="AB144" t="s">
        <v>81</v>
      </c>
      <c r="AC144" t="s">
        <v>82</v>
      </c>
      <c r="AD144" t="s">
        <v>165</v>
      </c>
      <c r="AE144" t="s">
        <v>63</v>
      </c>
      <c r="AF144" t="s">
        <v>83</v>
      </c>
      <c r="AG144" t="s">
        <v>193</v>
      </c>
      <c r="AH144" t="s">
        <v>193</v>
      </c>
      <c r="AI144" t="s">
        <v>65</v>
      </c>
      <c r="AJ144" t="s">
        <v>64</v>
      </c>
      <c r="AK144" t="s">
        <v>64</v>
      </c>
      <c r="AL144" t="s">
        <v>66</v>
      </c>
    </row>
    <row r="145" spans="1:38">
      <c r="A145">
        <v>152</v>
      </c>
      <c r="B145" t="s">
        <v>98</v>
      </c>
      <c r="C145" t="s">
        <v>86</v>
      </c>
      <c r="D145" t="s">
        <v>392</v>
      </c>
      <c r="E145" t="s">
        <v>43</v>
      </c>
      <c r="F145" t="s">
        <v>239</v>
      </c>
      <c r="G145" s="2">
        <v>3.8</v>
      </c>
      <c r="H145" s="2">
        <v>10</v>
      </c>
      <c r="I145" t="s">
        <v>72</v>
      </c>
      <c r="J145" t="s">
        <v>243</v>
      </c>
      <c r="K145" t="s">
        <v>148</v>
      </c>
      <c r="L145" t="s">
        <v>53</v>
      </c>
      <c r="M145" t="s">
        <v>53</v>
      </c>
      <c r="N145" s="4" t="str">
        <f t="shared" si="8"/>
        <v>High</v>
      </c>
      <c r="O145" s="4">
        <f>IF(Table13[[#This Row],[Phone distraction text]]="High",1,0)</f>
        <v>1</v>
      </c>
      <c r="P145" s="2">
        <v>6</v>
      </c>
      <c r="Q145" t="s">
        <v>104</v>
      </c>
      <c r="R145" s="4">
        <f t="shared" si="9"/>
        <v>0</v>
      </c>
      <c r="S145" t="s">
        <v>52</v>
      </c>
      <c r="T145" t="s">
        <v>53</v>
      </c>
      <c r="U145" t="s">
        <v>54</v>
      </c>
      <c r="V145" t="s">
        <v>183</v>
      </c>
      <c r="X145" t="s">
        <v>56</v>
      </c>
      <c r="Y145" t="s">
        <v>56</v>
      </c>
      <c r="Z145" t="s">
        <v>291</v>
      </c>
      <c r="AA145" s="2">
        <v>1</v>
      </c>
      <c r="AB145" t="s">
        <v>113</v>
      </c>
      <c r="AC145" t="s">
        <v>61</v>
      </c>
      <c r="AD145" t="s">
        <v>62</v>
      </c>
      <c r="AE145" t="s">
        <v>53</v>
      </c>
      <c r="AF145" t="s">
        <v>61</v>
      </c>
      <c r="AG145" t="s">
        <v>193</v>
      </c>
      <c r="AH145" t="s">
        <v>84</v>
      </c>
      <c r="AI145" t="s">
        <v>84</v>
      </c>
      <c r="AJ145" t="s">
        <v>193</v>
      </c>
      <c r="AK145" t="s">
        <v>66</v>
      </c>
      <c r="AL145" t="s">
        <v>64</v>
      </c>
    </row>
    <row r="146" spans="1:38">
      <c r="A146">
        <v>153</v>
      </c>
      <c r="B146" t="s">
        <v>124</v>
      </c>
      <c r="C146" t="s">
        <v>41</v>
      </c>
      <c r="D146" t="s">
        <v>125</v>
      </c>
      <c r="E146" t="s">
        <v>68</v>
      </c>
      <c r="F146" t="s">
        <v>198</v>
      </c>
      <c r="G146" s="2">
        <v>3.3</v>
      </c>
      <c r="H146" s="2">
        <v>16</v>
      </c>
      <c r="I146" t="s">
        <v>72</v>
      </c>
      <c r="J146" t="s">
        <v>48</v>
      </c>
      <c r="K146" t="s">
        <v>148</v>
      </c>
      <c r="L146" t="s">
        <v>50</v>
      </c>
      <c r="M146" t="s">
        <v>50</v>
      </c>
      <c r="N146" s="4" t="str">
        <f t="shared" si="8"/>
        <v>Not high</v>
      </c>
      <c r="O146" s="4">
        <f>IF(Table13[[#This Row],[Phone distraction text]]="High",1,0)</f>
        <v>0</v>
      </c>
      <c r="P146" s="2">
        <v>4</v>
      </c>
      <c r="Q146" t="s">
        <v>74</v>
      </c>
      <c r="R146" s="4">
        <f t="shared" si="9"/>
        <v>1</v>
      </c>
      <c r="S146" t="s">
        <v>121</v>
      </c>
      <c r="T146" t="s">
        <v>63</v>
      </c>
      <c r="U146" t="s">
        <v>54</v>
      </c>
      <c r="V146" t="s">
        <v>157</v>
      </c>
      <c r="X146" t="s">
        <v>78</v>
      </c>
      <c r="Y146" t="s">
        <v>78</v>
      </c>
      <c r="Z146" t="s">
        <v>334</v>
      </c>
      <c r="AA146" s="2">
        <v>3</v>
      </c>
      <c r="AB146" t="s">
        <v>81</v>
      </c>
      <c r="AC146" t="s">
        <v>61</v>
      </c>
      <c r="AD146" t="s">
        <v>107</v>
      </c>
      <c r="AE146" t="s">
        <v>103</v>
      </c>
      <c r="AF146" t="s">
        <v>128</v>
      </c>
      <c r="AG146" t="s">
        <v>65</v>
      </c>
      <c r="AH146" t="s">
        <v>64</v>
      </c>
      <c r="AI146" t="s">
        <v>65</v>
      </c>
      <c r="AJ146" t="s">
        <v>66</v>
      </c>
      <c r="AK146" t="s">
        <v>65</v>
      </c>
      <c r="AL146" t="s">
        <v>66</v>
      </c>
    </row>
    <row r="147" spans="1:38">
      <c r="A147">
        <v>154</v>
      </c>
      <c r="B147" t="s">
        <v>98</v>
      </c>
      <c r="C147" t="s">
        <v>86</v>
      </c>
      <c r="D147" t="s">
        <v>400</v>
      </c>
      <c r="E147" t="s">
        <v>68</v>
      </c>
      <c r="F147" t="s">
        <v>69</v>
      </c>
      <c r="G147" s="2">
        <v>3.5</v>
      </c>
      <c r="H147" s="2">
        <v>16</v>
      </c>
      <c r="I147" t="s">
        <v>47</v>
      </c>
      <c r="J147" t="s">
        <v>135</v>
      </c>
      <c r="K147" t="s">
        <v>49</v>
      </c>
      <c r="L147" t="s">
        <v>93</v>
      </c>
      <c r="M147" t="s">
        <v>103</v>
      </c>
      <c r="N147" s="4" t="str">
        <f t="shared" si="8"/>
        <v>Not high</v>
      </c>
      <c r="O147" s="4">
        <f>IF(Table13[[#This Row],[Phone distraction text]]="High",1,0)</f>
        <v>0</v>
      </c>
      <c r="P147" s="2">
        <v>5</v>
      </c>
      <c r="Q147" t="s">
        <v>91</v>
      </c>
      <c r="R147" s="4">
        <f t="shared" si="9"/>
        <v>0</v>
      </c>
      <c r="S147" t="s">
        <v>121</v>
      </c>
      <c r="T147" t="s">
        <v>53</v>
      </c>
      <c r="U147" t="s">
        <v>76</v>
      </c>
      <c r="V147" t="s">
        <v>417</v>
      </c>
      <c r="X147" t="s">
        <v>56</v>
      </c>
      <c r="Y147" t="s">
        <v>56</v>
      </c>
      <c r="Z147" t="s">
        <v>95</v>
      </c>
      <c r="AA147" s="2">
        <v>5</v>
      </c>
      <c r="AB147" t="s">
        <v>81</v>
      </c>
      <c r="AC147" t="s">
        <v>61</v>
      </c>
      <c r="AD147" t="s">
        <v>118</v>
      </c>
      <c r="AE147" t="s">
        <v>53</v>
      </c>
      <c r="AF147" t="s">
        <v>83</v>
      </c>
      <c r="AG147" t="s">
        <v>64</v>
      </c>
      <c r="AH147" t="s">
        <v>65</v>
      </c>
      <c r="AI147" t="s">
        <v>64</v>
      </c>
      <c r="AJ147" t="s">
        <v>66</v>
      </c>
      <c r="AK147" t="s">
        <v>84</v>
      </c>
      <c r="AL147" t="s">
        <v>84</v>
      </c>
    </row>
    <row r="148" spans="1:38">
      <c r="A148">
        <v>155</v>
      </c>
      <c r="B148" t="s">
        <v>85</v>
      </c>
      <c r="C148" t="s">
        <v>41</v>
      </c>
      <c r="D148" t="s">
        <v>145</v>
      </c>
      <c r="E148" t="s">
        <v>68</v>
      </c>
      <c r="F148" t="s">
        <v>44</v>
      </c>
      <c r="G148" s="2">
        <v>3.2</v>
      </c>
      <c r="H148" s="2">
        <v>12</v>
      </c>
      <c r="I148" t="s">
        <v>47</v>
      </c>
      <c r="J148" t="s">
        <v>90</v>
      </c>
      <c r="K148" t="s">
        <v>49</v>
      </c>
      <c r="L148" t="s">
        <v>63</v>
      </c>
      <c r="M148" t="s">
        <v>53</v>
      </c>
      <c r="N148" s="4" t="str">
        <f t="shared" si="8"/>
        <v>High</v>
      </c>
      <c r="O148" s="4">
        <f>IF(Table13[[#This Row],[Phone distraction text]]="High",1,0)</f>
        <v>1</v>
      </c>
      <c r="P148" s="2">
        <v>8</v>
      </c>
      <c r="Q148" t="s">
        <v>74</v>
      </c>
      <c r="R148" s="4">
        <f t="shared" si="9"/>
        <v>1</v>
      </c>
      <c r="S148" t="s">
        <v>75</v>
      </c>
      <c r="T148" t="s">
        <v>50</v>
      </c>
      <c r="U148" t="s">
        <v>105</v>
      </c>
      <c r="V148" t="s">
        <v>183</v>
      </c>
      <c r="X148" t="s">
        <v>56</v>
      </c>
      <c r="Y148" t="s">
        <v>56</v>
      </c>
      <c r="Z148" t="s">
        <v>334</v>
      </c>
      <c r="AA148" s="2">
        <v>3</v>
      </c>
      <c r="AB148" t="s">
        <v>81</v>
      </c>
      <c r="AC148" t="s">
        <v>82</v>
      </c>
      <c r="AD148" t="s">
        <v>173</v>
      </c>
      <c r="AE148" t="s">
        <v>50</v>
      </c>
      <c r="AF148" t="s">
        <v>128</v>
      </c>
      <c r="AG148" t="s">
        <v>64</v>
      </c>
      <c r="AH148" t="s">
        <v>84</v>
      </c>
      <c r="AI148" t="s">
        <v>64</v>
      </c>
      <c r="AJ148" t="s">
        <v>65</v>
      </c>
      <c r="AK148" t="s">
        <v>65</v>
      </c>
      <c r="AL148" t="s">
        <v>64</v>
      </c>
    </row>
    <row r="149" spans="1:38">
      <c r="A149">
        <v>156</v>
      </c>
      <c r="B149" t="s">
        <v>40</v>
      </c>
      <c r="C149" t="s">
        <v>41</v>
      </c>
      <c r="D149" t="s">
        <v>403</v>
      </c>
      <c r="E149" t="s">
        <v>43</v>
      </c>
      <c r="F149" t="s">
        <v>69</v>
      </c>
      <c r="G149" s="2">
        <v>4</v>
      </c>
      <c r="H149" s="2">
        <v>15</v>
      </c>
      <c r="I149" t="s">
        <v>72</v>
      </c>
      <c r="J149" t="s">
        <v>90</v>
      </c>
      <c r="K149" t="s">
        <v>148</v>
      </c>
      <c r="L149" t="s">
        <v>63</v>
      </c>
      <c r="M149" t="s">
        <v>53</v>
      </c>
      <c r="N149" s="4" t="str">
        <f t="shared" si="8"/>
        <v>High</v>
      </c>
      <c r="O149" s="4">
        <f>IF(Table13[[#This Row],[Phone distraction text]]="High",1,0)</f>
        <v>1</v>
      </c>
      <c r="P149" s="2">
        <v>6</v>
      </c>
      <c r="Q149" t="s">
        <v>74</v>
      </c>
      <c r="R149" s="4">
        <f t="shared" si="9"/>
        <v>1</v>
      </c>
      <c r="S149" t="s">
        <v>121</v>
      </c>
      <c r="T149" t="s">
        <v>63</v>
      </c>
      <c r="U149" t="s">
        <v>105</v>
      </c>
      <c r="V149" t="s">
        <v>196</v>
      </c>
      <c r="X149" t="s">
        <v>56</v>
      </c>
      <c r="Y149" t="s">
        <v>56</v>
      </c>
      <c r="Z149" t="s">
        <v>58</v>
      </c>
      <c r="AA149" s="2">
        <v>5</v>
      </c>
      <c r="AB149" t="s">
        <v>113</v>
      </c>
      <c r="AC149" t="s">
        <v>82</v>
      </c>
      <c r="AD149" t="s">
        <v>118</v>
      </c>
      <c r="AE149" t="s">
        <v>53</v>
      </c>
      <c r="AF149" t="s">
        <v>83</v>
      </c>
      <c r="AG149" t="s">
        <v>84</v>
      </c>
      <c r="AH149" t="s">
        <v>84</v>
      </c>
      <c r="AI149" t="s">
        <v>84</v>
      </c>
      <c r="AJ149" t="s">
        <v>84</v>
      </c>
      <c r="AK149" t="s">
        <v>84</v>
      </c>
      <c r="AL149" t="s">
        <v>84</v>
      </c>
    </row>
    <row r="150" spans="1:38">
      <c r="A150">
        <v>157</v>
      </c>
      <c r="B150" t="s">
        <v>124</v>
      </c>
      <c r="C150" t="s">
        <v>41</v>
      </c>
      <c r="D150" t="s">
        <v>404</v>
      </c>
      <c r="E150" t="s">
        <v>43</v>
      </c>
      <c r="F150" t="s">
        <v>101</v>
      </c>
      <c r="G150" s="2">
        <v>3.2</v>
      </c>
      <c r="H150" s="2">
        <v>12</v>
      </c>
      <c r="I150" t="s">
        <v>72</v>
      </c>
      <c r="J150" t="s">
        <v>73</v>
      </c>
      <c r="K150" t="s">
        <v>148</v>
      </c>
      <c r="L150" t="s">
        <v>53</v>
      </c>
      <c r="M150" t="s">
        <v>50</v>
      </c>
      <c r="N150" s="4" t="str">
        <f t="shared" si="8"/>
        <v>Not high</v>
      </c>
      <c r="O150" s="4">
        <f>IF(Table13[[#This Row],[Phone distraction text]]="High",1,0)</f>
        <v>0</v>
      </c>
      <c r="P150" s="2">
        <v>4</v>
      </c>
      <c r="Q150" t="s">
        <v>74</v>
      </c>
      <c r="R150" s="4">
        <f t="shared" si="9"/>
        <v>1</v>
      </c>
      <c r="S150" t="s">
        <v>52</v>
      </c>
      <c r="T150" t="s">
        <v>50</v>
      </c>
      <c r="U150" t="s">
        <v>116</v>
      </c>
      <c r="V150" t="s">
        <v>157</v>
      </c>
      <c r="X150" t="s">
        <v>56</v>
      </c>
      <c r="Y150" t="s">
        <v>78</v>
      </c>
      <c r="Z150" t="s">
        <v>112</v>
      </c>
      <c r="AA150" s="2">
        <v>4</v>
      </c>
      <c r="AB150" t="s">
        <v>113</v>
      </c>
      <c r="AC150" t="s">
        <v>61</v>
      </c>
      <c r="AD150" t="s">
        <v>118</v>
      </c>
      <c r="AE150" t="s">
        <v>50</v>
      </c>
      <c r="AF150" t="s">
        <v>83</v>
      </c>
      <c r="AG150" t="s">
        <v>65</v>
      </c>
      <c r="AH150" t="s">
        <v>64</v>
      </c>
      <c r="AI150" t="s">
        <v>66</v>
      </c>
      <c r="AJ150" t="s">
        <v>64</v>
      </c>
      <c r="AK150" t="s">
        <v>66</v>
      </c>
      <c r="AL150" t="s">
        <v>64</v>
      </c>
    </row>
    <row r="151" spans="1:38">
      <c r="A151">
        <v>158</v>
      </c>
      <c r="B151" t="s">
        <v>40</v>
      </c>
      <c r="C151" t="s">
        <v>41</v>
      </c>
      <c r="D151" t="s">
        <v>406</v>
      </c>
      <c r="E151" t="s">
        <v>68</v>
      </c>
      <c r="F151" t="s">
        <v>69</v>
      </c>
      <c r="G151" s="2">
        <v>3.82</v>
      </c>
      <c r="H151" s="2">
        <v>12</v>
      </c>
      <c r="I151" t="s">
        <v>189</v>
      </c>
      <c r="J151" t="s">
        <v>73</v>
      </c>
      <c r="K151" t="s">
        <v>49</v>
      </c>
      <c r="L151" t="s">
        <v>103</v>
      </c>
      <c r="M151" t="s">
        <v>50</v>
      </c>
      <c r="N151" s="4" t="str">
        <f t="shared" si="8"/>
        <v>Not high</v>
      </c>
      <c r="O151" s="4">
        <f>IF(Table13[[#This Row],[Phone distraction text]]="High",1,0)</f>
        <v>0</v>
      </c>
      <c r="P151" s="2">
        <v>5</v>
      </c>
      <c r="Q151" t="s">
        <v>74</v>
      </c>
      <c r="R151" s="4">
        <f t="shared" si="9"/>
        <v>1</v>
      </c>
      <c r="S151" t="s">
        <v>92</v>
      </c>
      <c r="T151" t="s">
        <v>93</v>
      </c>
      <c r="U151" t="s">
        <v>76</v>
      </c>
      <c r="V151" t="s">
        <v>111</v>
      </c>
      <c r="X151" t="s">
        <v>56</v>
      </c>
      <c r="Y151" t="s">
        <v>57</v>
      </c>
      <c r="Z151" t="s">
        <v>151</v>
      </c>
      <c r="AA151" s="2">
        <v>5</v>
      </c>
      <c r="AB151" t="s">
        <v>113</v>
      </c>
      <c r="AC151" t="s">
        <v>61</v>
      </c>
      <c r="AD151" t="s">
        <v>173</v>
      </c>
      <c r="AE151" t="s">
        <v>53</v>
      </c>
      <c r="AF151" t="s">
        <v>61</v>
      </c>
      <c r="AG151" t="s">
        <v>64</v>
      </c>
      <c r="AH151" t="s">
        <v>65</v>
      </c>
      <c r="AI151" t="s">
        <v>66</v>
      </c>
      <c r="AJ151" t="s">
        <v>65</v>
      </c>
      <c r="AK151" t="s">
        <v>64</v>
      </c>
      <c r="AL151" t="s">
        <v>65</v>
      </c>
    </row>
    <row r="152" spans="1:38">
      <c r="A152">
        <v>159</v>
      </c>
      <c r="B152" t="s">
        <v>40</v>
      </c>
      <c r="C152" t="s">
        <v>41</v>
      </c>
      <c r="D152" t="s">
        <v>403</v>
      </c>
      <c r="E152" t="s">
        <v>68</v>
      </c>
      <c r="F152" t="s">
        <v>69</v>
      </c>
      <c r="G152" s="2">
        <v>3.83</v>
      </c>
      <c r="H152" s="2">
        <v>12</v>
      </c>
      <c r="I152" t="s">
        <v>47</v>
      </c>
      <c r="J152" t="s">
        <v>73</v>
      </c>
      <c r="K152" t="s">
        <v>49</v>
      </c>
      <c r="L152" t="s">
        <v>53</v>
      </c>
      <c r="M152" t="s">
        <v>53</v>
      </c>
      <c r="N152" s="4" t="str">
        <f t="shared" si="8"/>
        <v>High</v>
      </c>
      <c r="O152" s="4">
        <f>IF(Table13[[#This Row],[Phone distraction text]]="High",1,0)</f>
        <v>1</v>
      </c>
      <c r="P152" s="2">
        <v>5</v>
      </c>
      <c r="Q152" t="s">
        <v>91</v>
      </c>
      <c r="R152" s="4">
        <f t="shared" si="9"/>
        <v>0</v>
      </c>
      <c r="S152" t="s">
        <v>52</v>
      </c>
      <c r="T152" t="s">
        <v>50</v>
      </c>
      <c r="U152" t="s">
        <v>122</v>
      </c>
      <c r="V152" t="s">
        <v>408</v>
      </c>
      <c r="X152" t="s">
        <v>78</v>
      </c>
      <c r="Y152" t="s">
        <v>56</v>
      </c>
      <c r="Z152" t="s">
        <v>151</v>
      </c>
      <c r="AA152" s="2">
        <v>5</v>
      </c>
      <c r="AB152" t="s">
        <v>60</v>
      </c>
      <c r="AC152" t="s">
        <v>61</v>
      </c>
      <c r="AD152" t="s">
        <v>118</v>
      </c>
      <c r="AE152" t="s">
        <v>63</v>
      </c>
      <c r="AF152" t="s">
        <v>83</v>
      </c>
      <c r="AG152" t="s">
        <v>65</v>
      </c>
      <c r="AH152" t="s">
        <v>64</v>
      </c>
      <c r="AI152" t="s">
        <v>65</v>
      </c>
      <c r="AJ152" t="s">
        <v>64</v>
      </c>
      <c r="AK152" t="s">
        <v>64</v>
      </c>
      <c r="AL152" t="s">
        <v>66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2026-04-02T15:03:10Z</dcterms:created>
  <dcterms:modified xsi:type="dcterms:W3CDTF">2026-05-02T00:39:41Z</dcterms:modified>
  <cp:category/>
  <cp:contentStatus/>
</cp:coreProperties>
</file>